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3895" windowHeight="9990" firstSheet="6" activeTab="9"/>
  </bookViews>
  <sheets>
    <sheet name="2904 INOVAR" sheetId="1" r:id="rId1"/>
    <sheet name="2927 RG Distribuidora" sheetId="4" r:id="rId2"/>
    <sheet name="3268 RG Distribuidora" sheetId="5" r:id="rId3"/>
    <sheet name="3265 RG Distribuidora " sheetId="6" r:id="rId4"/>
    <sheet name="4659 RG Distribuidora  " sheetId="7" r:id="rId5"/>
    <sheet name="3665 RG Distribuidora  " sheetId="8" r:id="rId6"/>
    <sheet name="3666 RG Distribuidora  " sheetId="9" r:id="rId7"/>
    <sheet name="3666 Supergasbrás  " sheetId="10" r:id="rId8"/>
    <sheet name="5949 RG Distribuidora   " sheetId="11" r:id="rId9"/>
    <sheet name="4313 C Teixeira   " sheetId="12" r:id="rId10"/>
    <sheet name="Plan2" sheetId="2" r:id="rId11"/>
    <sheet name="Plan3" sheetId="3" r:id="rId12"/>
  </sheets>
  <calcPr calcId="125725"/>
</workbook>
</file>

<file path=xl/calcChain.xml><?xml version="1.0" encoding="utf-8"?>
<calcChain xmlns="http://schemas.openxmlformats.org/spreadsheetml/2006/main">
  <c r="C42" i="12"/>
  <c r="D41"/>
  <c r="E41" s="1"/>
  <c r="D40"/>
  <c r="F40" s="1"/>
  <c r="D39"/>
  <c r="E39" s="1"/>
  <c r="D38"/>
  <c r="E38" s="1"/>
  <c r="D37"/>
  <c r="E37" s="1"/>
  <c r="D36"/>
  <c r="E36" s="1"/>
  <c r="D35"/>
  <c r="E35" s="1"/>
  <c r="D34"/>
  <c r="E34" s="1"/>
  <c r="D33"/>
  <c r="E33" s="1"/>
  <c r="D32"/>
  <c r="F32" s="1"/>
  <c r="D31"/>
  <c r="E31" s="1"/>
  <c r="D30"/>
  <c r="E30" s="1"/>
  <c r="D29"/>
  <c r="E29" s="1"/>
  <c r="D28"/>
  <c r="E28" s="1"/>
  <c r="D27"/>
  <c r="E27" s="1"/>
  <c r="D26"/>
  <c r="E26" s="1"/>
  <c r="D25"/>
  <c r="E25" s="1"/>
  <c r="D24"/>
  <c r="F24" s="1"/>
  <c r="D23"/>
  <c r="E23" s="1"/>
  <c r="D22"/>
  <c r="E22" s="1"/>
  <c r="D21"/>
  <c r="E21" s="1"/>
  <c r="D20"/>
  <c r="E20" s="1"/>
  <c r="D19"/>
  <c r="E19" s="1"/>
  <c r="D18"/>
  <c r="E18" s="1"/>
  <c r="D17"/>
  <c r="E17" s="1"/>
  <c r="D16"/>
  <c r="F16" s="1"/>
  <c r="D15"/>
  <c r="E15" s="1"/>
  <c r="D14"/>
  <c r="E14" s="1"/>
  <c r="D13"/>
  <c r="E13" s="1"/>
  <c r="D12"/>
  <c r="E12" s="1"/>
  <c r="D11"/>
  <c r="E11" s="1"/>
  <c r="F10"/>
  <c r="D10"/>
  <c r="E10" s="1"/>
  <c r="D9"/>
  <c r="E9" s="1"/>
  <c r="D8"/>
  <c r="F8" s="1"/>
  <c r="D7"/>
  <c r="E7" s="1"/>
  <c r="D6"/>
  <c r="E6" s="1"/>
  <c r="D5"/>
  <c r="E5" s="1"/>
  <c r="C68" i="11"/>
  <c r="D67"/>
  <c r="E67" s="1"/>
  <c r="F66"/>
  <c r="E66"/>
  <c r="D66"/>
  <c r="E65"/>
  <c r="D65"/>
  <c r="F65" s="1"/>
  <c r="E64"/>
  <c r="D64"/>
  <c r="F64" s="1"/>
  <c r="F63"/>
  <c r="D63"/>
  <c r="E63" s="1"/>
  <c r="F62"/>
  <c r="E62"/>
  <c r="D62"/>
  <c r="F61"/>
  <c r="E61"/>
  <c r="D61"/>
  <c r="D60"/>
  <c r="E60" s="1"/>
  <c r="D59"/>
  <c r="E59" s="1"/>
  <c r="F58"/>
  <c r="E58"/>
  <c r="D58"/>
  <c r="E57"/>
  <c r="D57"/>
  <c r="F57" s="1"/>
  <c r="E56"/>
  <c r="D56"/>
  <c r="F56" s="1"/>
  <c r="F55"/>
  <c r="D55"/>
  <c r="E55" s="1"/>
  <c r="F54"/>
  <c r="E54"/>
  <c r="D54"/>
  <c r="F53"/>
  <c r="E53"/>
  <c r="D53"/>
  <c r="D52"/>
  <c r="E52" s="1"/>
  <c r="D51"/>
  <c r="E51" s="1"/>
  <c r="F50"/>
  <c r="E50"/>
  <c r="D50"/>
  <c r="E49"/>
  <c r="D49"/>
  <c r="F49" s="1"/>
  <c r="E48"/>
  <c r="D48"/>
  <c r="F48" s="1"/>
  <c r="F47"/>
  <c r="D47"/>
  <c r="E47" s="1"/>
  <c r="F46"/>
  <c r="E46"/>
  <c r="D46"/>
  <c r="F45"/>
  <c r="E45"/>
  <c r="D45"/>
  <c r="D44"/>
  <c r="E44" s="1"/>
  <c r="D43"/>
  <c r="E43" s="1"/>
  <c r="F42"/>
  <c r="E42"/>
  <c r="D42"/>
  <c r="E41"/>
  <c r="D41"/>
  <c r="F41" s="1"/>
  <c r="E40"/>
  <c r="D40"/>
  <c r="F40" s="1"/>
  <c r="F39"/>
  <c r="D39"/>
  <c r="E39" s="1"/>
  <c r="F38"/>
  <c r="E38"/>
  <c r="D38"/>
  <c r="F37"/>
  <c r="E37"/>
  <c r="D37"/>
  <c r="D36"/>
  <c r="E36" s="1"/>
  <c r="D35"/>
  <c r="E35" s="1"/>
  <c r="F34"/>
  <c r="E34"/>
  <c r="D34"/>
  <c r="E33"/>
  <c r="D33"/>
  <c r="F33" s="1"/>
  <c r="E32"/>
  <c r="D32"/>
  <c r="F32" s="1"/>
  <c r="F31"/>
  <c r="D31"/>
  <c r="E31" s="1"/>
  <c r="F30"/>
  <c r="E30"/>
  <c r="D30"/>
  <c r="F29"/>
  <c r="E29"/>
  <c r="D29"/>
  <c r="D28"/>
  <c r="E28" s="1"/>
  <c r="D27"/>
  <c r="E27" s="1"/>
  <c r="F26"/>
  <c r="E26"/>
  <c r="D26"/>
  <c r="E25"/>
  <c r="D25"/>
  <c r="F25" s="1"/>
  <c r="E24"/>
  <c r="D24"/>
  <c r="F24" s="1"/>
  <c r="F23"/>
  <c r="D23"/>
  <c r="E23" s="1"/>
  <c r="F22"/>
  <c r="E22"/>
  <c r="D22"/>
  <c r="F21"/>
  <c r="E21"/>
  <c r="D21"/>
  <c r="D20"/>
  <c r="E20" s="1"/>
  <c r="D19"/>
  <c r="E19" s="1"/>
  <c r="F18"/>
  <c r="E18"/>
  <c r="D18"/>
  <c r="E17"/>
  <c r="D17"/>
  <c r="F17" s="1"/>
  <c r="E16"/>
  <c r="D16"/>
  <c r="F16" s="1"/>
  <c r="F15"/>
  <c r="D15"/>
  <c r="E15" s="1"/>
  <c r="F14"/>
  <c r="E14"/>
  <c r="D14"/>
  <c r="F13"/>
  <c r="E13"/>
  <c r="D13"/>
  <c r="D12"/>
  <c r="E12" s="1"/>
  <c r="D11"/>
  <c r="E11" s="1"/>
  <c r="F10"/>
  <c r="E10"/>
  <c r="D10"/>
  <c r="E9"/>
  <c r="D9"/>
  <c r="F9" s="1"/>
  <c r="E8"/>
  <c r="D8"/>
  <c r="F8" s="1"/>
  <c r="F7"/>
  <c r="D7"/>
  <c r="E7" s="1"/>
  <c r="F6"/>
  <c r="E6"/>
  <c r="D6"/>
  <c r="F5"/>
  <c r="E5"/>
  <c r="D5"/>
  <c r="D68" s="1"/>
  <c r="D5" i="10"/>
  <c r="F5" s="1"/>
  <c r="D6"/>
  <c r="E6" s="1"/>
  <c r="D7"/>
  <c r="E7" s="1"/>
  <c r="D8"/>
  <c r="E8" s="1"/>
  <c r="D9"/>
  <c r="F9" s="1"/>
  <c r="D10"/>
  <c r="D11"/>
  <c r="F11" s="1"/>
  <c r="D12"/>
  <c r="F12" s="1"/>
  <c r="D13"/>
  <c r="E13" s="1"/>
  <c r="D14"/>
  <c r="E14" s="1"/>
  <c r="D15"/>
  <c r="F15" s="1"/>
  <c r="D16"/>
  <c r="E16" s="1"/>
  <c r="D17"/>
  <c r="F17" s="1"/>
  <c r="C18"/>
  <c r="F10"/>
  <c r="E10"/>
  <c r="D66" i="9"/>
  <c r="F66" s="1"/>
  <c r="D64"/>
  <c r="F64" s="1"/>
  <c r="D63"/>
  <c r="F63" s="1"/>
  <c r="D62"/>
  <c r="F62" s="1"/>
  <c r="D61"/>
  <c r="E61" s="1"/>
  <c r="C68"/>
  <c r="D67"/>
  <c r="E67" s="1"/>
  <c r="D65"/>
  <c r="E65" s="1"/>
  <c r="D60"/>
  <c r="E60" s="1"/>
  <c r="F59"/>
  <c r="D59"/>
  <c r="E59" s="1"/>
  <c r="D58"/>
  <c r="F58" s="1"/>
  <c r="E57"/>
  <c r="D57"/>
  <c r="F57" s="1"/>
  <c r="D56"/>
  <c r="F56" s="1"/>
  <c r="D55"/>
  <c r="E55" s="1"/>
  <c r="F54"/>
  <c r="E54"/>
  <c r="D54"/>
  <c r="F53"/>
  <c r="D53"/>
  <c r="E53" s="1"/>
  <c r="D52"/>
  <c r="E52" s="1"/>
  <c r="D51"/>
  <c r="E51" s="1"/>
  <c r="D50"/>
  <c r="F50" s="1"/>
  <c r="D49"/>
  <c r="F49" s="1"/>
  <c r="F48"/>
  <c r="D48"/>
  <c r="E48" s="1"/>
  <c r="E47"/>
  <c r="D47"/>
  <c r="F47" s="1"/>
  <c r="E46"/>
  <c r="D46"/>
  <c r="F46" s="1"/>
  <c r="D45"/>
  <c r="E45" s="1"/>
  <c r="D44"/>
  <c r="E44" s="1"/>
  <c r="D43"/>
  <c r="E43" s="1"/>
  <c r="D42"/>
  <c r="F42" s="1"/>
  <c r="E41"/>
  <c r="D41"/>
  <c r="F41" s="1"/>
  <c r="D40"/>
  <c r="E40" s="1"/>
  <c r="D39"/>
  <c r="E39" s="1"/>
  <c r="D38"/>
  <c r="E38" s="1"/>
  <c r="D37"/>
  <c r="E37" s="1"/>
  <c r="D36"/>
  <c r="E36" s="1"/>
  <c r="E35"/>
  <c r="D35"/>
  <c r="F35" s="1"/>
  <c r="D34"/>
  <c r="F34" s="1"/>
  <c r="D33"/>
  <c r="F33" s="1"/>
  <c r="D32"/>
  <c r="E32" s="1"/>
  <c r="F31"/>
  <c r="D31"/>
  <c r="E31" s="1"/>
  <c r="D30"/>
  <c r="E30" s="1"/>
  <c r="D29"/>
  <c r="E29" s="1"/>
  <c r="D28"/>
  <c r="E28" s="1"/>
  <c r="F27"/>
  <c r="D27"/>
  <c r="E27" s="1"/>
  <c r="D26"/>
  <c r="F26" s="1"/>
  <c r="E25"/>
  <c r="D25"/>
  <c r="F25" s="1"/>
  <c r="D24"/>
  <c r="F24" s="1"/>
  <c r="D23"/>
  <c r="E23" s="1"/>
  <c r="F22"/>
  <c r="D22"/>
  <c r="E22" s="1"/>
  <c r="F21"/>
  <c r="D21"/>
  <c r="E21" s="1"/>
  <c r="D20"/>
  <c r="E20" s="1"/>
  <c r="D19"/>
  <c r="E19" s="1"/>
  <c r="D18"/>
  <c r="F18" s="1"/>
  <c r="D17"/>
  <c r="F17" s="1"/>
  <c r="F16"/>
  <c r="E16"/>
  <c r="D16"/>
  <c r="E15"/>
  <c r="D15"/>
  <c r="F15" s="1"/>
  <c r="E14"/>
  <c r="D14"/>
  <c r="F14" s="1"/>
  <c r="F13"/>
  <c r="D13"/>
  <c r="E13" s="1"/>
  <c r="D12"/>
  <c r="E12" s="1"/>
  <c r="D11"/>
  <c r="E11" s="1"/>
  <c r="D10"/>
  <c r="F10" s="1"/>
  <c r="D9"/>
  <c r="F9" s="1"/>
  <c r="D8"/>
  <c r="E8" s="1"/>
  <c r="D7"/>
  <c r="E7" s="1"/>
  <c r="F6"/>
  <c r="E6"/>
  <c r="D6"/>
  <c r="D5"/>
  <c r="E5" s="1"/>
  <c r="D63" i="8"/>
  <c r="F63"/>
  <c r="F2" s="1"/>
  <c r="C68" i="6"/>
  <c r="C63" i="8"/>
  <c r="D62"/>
  <c r="F62" s="1"/>
  <c r="D61"/>
  <c r="E61" s="1"/>
  <c r="D60"/>
  <c r="F60" s="1"/>
  <c r="D59"/>
  <c r="E59" s="1"/>
  <c r="D58"/>
  <c r="E58" s="1"/>
  <c r="D57"/>
  <c r="E57" s="1"/>
  <c r="D56"/>
  <c r="E56" s="1"/>
  <c r="D55"/>
  <c r="F55" s="1"/>
  <c r="D54"/>
  <c r="F54" s="1"/>
  <c r="D53"/>
  <c r="E53" s="1"/>
  <c r="D52"/>
  <c r="F52" s="1"/>
  <c r="D51"/>
  <c r="E51" s="1"/>
  <c r="D50"/>
  <c r="E50" s="1"/>
  <c r="D49"/>
  <c r="E49" s="1"/>
  <c r="D48"/>
  <c r="E48" s="1"/>
  <c r="D47"/>
  <c r="F47" s="1"/>
  <c r="D46"/>
  <c r="E46" s="1"/>
  <c r="D45"/>
  <c r="E45" s="1"/>
  <c r="D44"/>
  <c r="E44" s="1"/>
  <c r="D43"/>
  <c r="E43" s="1"/>
  <c r="D42"/>
  <c r="E42" s="1"/>
  <c r="D41"/>
  <c r="E41" s="1"/>
  <c r="D40"/>
  <c r="E40" s="1"/>
  <c r="D39"/>
  <c r="F39" s="1"/>
  <c r="D38"/>
  <c r="F38" s="1"/>
  <c r="D37"/>
  <c r="E37" s="1"/>
  <c r="F36"/>
  <c r="D36"/>
  <c r="E36" s="1"/>
  <c r="F35"/>
  <c r="D35"/>
  <c r="E35" s="1"/>
  <c r="D34"/>
  <c r="E34" s="1"/>
  <c r="D33"/>
  <c r="E33" s="1"/>
  <c r="D32"/>
  <c r="E32" s="1"/>
  <c r="D31"/>
  <c r="F31" s="1"/>
  <c r="D30"/>
  <c r="E30" s="1"/>
  <c r="D29"/>
  <c r="E29" s="1"/>
  <c r="E28"/>
  <c r="D28"/>
  <c r="F28" s="1"/>
  <c r="F27"/>
  <c r="D27"/>
  <c r="E27" s="1"/>
  <c r="D26"/>
  <c r="E26" s="1"/>
  <c r="D25"/>
  <c r="E25" s="1"/>
  <c r="D24"/>
  <c r="E24" s="1"/>
  <c r="D23"/>
  <c r="F23" s="1"/>
  <c r="F22"/>
  <c r="E22"/>
  <c r="D22"/>
  <c r="D21"/>
  <c r="E21" s="1"/>
  <c r="D20"/>
  <c r="E20" s="1"/>
  <c r="D19"/>
  <c r="E19" s="1"/>
  <c r="D18"/>
  <c r="E18" s="1"/>
  <c r="D17"/>
  <c r="E17" s="1"/>
  <c r="D16"/>
  <c r="E16" s="1"/>
  <c r="D15"/>
  <c r="F15" s="1"/>
  <c r="D14"/>
  <c r="F14" s="1"/>
  <c r="D13"/>
  <c r="E13" s="1"/>
  <c r="E12"/>
  <c r="D12"/>
  <c r="F12" s="1"/>
  <c r="F11"/>
  <c r="D11"/>
  <c r="E11" s="1"/>
  <c r="D10"/>
  <c r="E10" s="1"/>
  <c r="D9"/>
  <c r="E9" s="1"/>
  <c r="D8"/>
  <c r="E8" s="1"/>
  <c r="E7"/>
  <c r="D7"/>
  <c r="F7" s="1"/>
  <c r="D6"/>
  <c r="E6" s="1"/>
  <c r="D5"/>
  <c r="E5" s="1"/>
  <c r="C24" i="7"/>
  <c r="D23"/>
  <c r="F23" s="1"/>
  <c r="D22"/>
  <c r="E22" s="1"/>
  <c r="D21"/>
  <c r="F21" s="1"/>
  <c r="D20"/>
  <c r="F20" s="1"/>
  <c r="D19"/>
  <c r="F19" s="1"/>
  <c r="D18"/>
  <c r="F18" s="1"/>
  <c r="D17"/>
  <c r="E17" s="1"/>
  <c r="D16"/>
  <c r="E16" s="1"/>
  <c r="D15"/>
  <c r="F15" s="1"/>
  <c r="D14"/>
  <c r="E14" s="1"/>
  <c r="D13"/>
  <c r="F13" s="1"/>
  <c r="D12"/>
  <c r="F12" s="1"/>
  <c r="D11"/>
  <c r="E11" s="1"/>
  <c r="D10"/>
  <c r="E10" s="1"/>
  <c r="D9"/>
  <c r="E9" s="1"/>
  <c r="D8"/>
  <c r="E8" s="1"/>
  <c r="D7"/>
  <c r="E7" s="1"/>
  <c r="D6"/>
  <c r="E6" s="1"/>
  <c r="D5"/>
  <c r="F5" s="1"/>
  <c r="D67" i="6"/>
  <c r="F67" s="1"/>
  <c r="D66"/>
  <c r="F66" s="1"/>
  <c r="D65"/>
  <c r="F65" s="1"/>
  <c r="D64"/>
  <c r="F64" s="1"/>
  <c r="D63"/>
  <c r="F63" s="1"/>
  <c r="D30"/>
  <c r="F30" s="1"/>
  <c r="D62"/>
  <c r="E62" s="1"/>
  <c r="D61"/>
  <c r="E61" s="1"/>
  <c r="D60"/>
  <c r="E60" s="1"/>
  <c r="D59"/>
  <c r="E59" s="1"/>
  <c r="D58"/>
  <c r="F58" s="1"/>
  <c r="D57"/>
  <c r="E57" s="1"/>
  <c r="D56"/>
  <c r="E56" s="1"/>
  <c r="D55"/>
  <c r="E55" s="1"/>
  <c r="D54"/>
  <c r="F54" s="1"/>
  <c r="D53"/>
  <c r="E53" s="1"/>
  <c r="D52"/>
  <c r="E52" s="1"/>
  <c r="D51"/>
  <c r="E51" s="1"/>
  <c r="D50"/>
  <c r="F50" s="1"/>
  <c r="D49"/>
  <c r="E49" s="1"/>
  <c r="D48"/>
  <c r="E48" s="1"/>
  <c r="D47"/>
  <c r="E47" s="1"/>
  <c r="D46"/>
  <c r="F46" s="1"/>
  <c r="D45"/>
  <c r="E45" s="1"/>
  <c r="D44"/>
  <c r="E44" s="1"/>
  <c r="D43"/>
  <c r="E43" s="1"/>
  <c r="D42"/>
  <c r="F42" s="1"/>
  <c r="D41"/>
  <c r="E41" s="1"/>
  <c r="D40"/>
  <c r="E40" s="1"/>
  <c r="D39"/>
  <c r="E39" s="1"/>
  <c r="D38"/>
  <c r="F38" s="1"/>
  <c r="D37"/>
  <c r="E37" s="1"/>
  <c r="D36"/>
  <c r="E36" s="1"/>
  <c r="D35"/>
  <c r="E35" s="1"/>
  <c r="D34"/>
  <c r="F34" s="1"/>
  <c r="D33"/>
  <c r="E33" s="1"/>
  <c r="D32"/>
  <c r="E32" s="1"/>
  <c r="D31"/>
  <c r="E31" s="1"/>
  <c r="D29"/>
  <c r="E29" s="1"/>
  <c r="D28"/>
  <c r="E28" s="1"/>
  <c r="D27"/>
  <c r="E27" s="1"/>
  <c r="D26"/>
  <c r="F26" s="1"/>
  <c r="D25"/>
  <c r="E25" s="1"/>
  <c r="D24"/>
  <c r="E24" s="1"/>
  <c r="D23"/>
  <c r="F23" s="1"/>
  <c r="D22"/>
  <c r="E22" s="1"/>
  <c r="D21"/>
  <c r="E21" s="1"/>
  <c r="D20"/>
  <c r="E20" s="1"/>
  <c r="D19"/>
  <c r="F19" s="1"/>
  <c r="D18"/>
  <c r="E18" s="1"/>
  <c r="D17"/>
  <c r="E17" s="1"/>
  <c r="D16"/>
  <c r="E16" s="1"/>
  <c r="D15"/>
  <c r="F15" s="1"/>
  <c r="D14"/>
  <c r="E14" s="1"/>
  <c r="D13"/>
  <c r="E13" s="1"/>
  <c r="D12"/>
  <c r="F12" s="1"/>
  <c r="D11"/>
  <c r="E11" s="1"/>
  <c r="D10"/>
  <c r="E10" s="1"/>
  <c r="D9"/>
  <c r="F9" s="1"/>
  <c r="D8"/>
  <c r="E8" s="1"/>
  <c r="D7"/>
  <c r="E7" s="1"/>
  <c r="D6"/>
  <c r="F6" s="1"/>
  <c r="D5"/>
  <c r="E5" s="1"/>
  <c r="C9" i="2"/>
  <c r="D8"/>
  <c r="F8" s="1"/>
  <c r="D7"/>
  <c r="F7" s="1"/>
  <c r="D6"/>
  <c r="E6" s="1"/>
  <c r="D5"/>
  <c r="E5" s="1"/>
  <c r="D66" i="5"/>
  <c r="F66" s="1"/>
  <c r="D65"/>
  <c r="F65" s="1"/>
  <c r="C68"/>
  <c r="D67"/>
  <c r="E67" s="1"/>
  <c r="D64"/>
  <c r="F64" s="1"/>
  <c r="D63"/>
  <c r="E63" s="1"/>
  <c r="D62"/>
  <c r="E62" s="1"/>
  <c r="F61"/>
  <c r="D61"/>
  <c r="E61" s="1"/>
  <c r="D60"/>
  <c r="E60" s="1"/>
  <c r="D59"/>
  <c r="E59" s="1"/>
  <c r="D58"/>
  <c r="E58" s="1"/>
  <c r="D57"/>
  <c r="F57" s="1"/>
  <c r="F56"/>
  <c r="D56"/>
  <c r="E56" s="1"/>
  <c r="D55"/>
  <c r="E55" s="1"/>
  <c r="D54"/>
  <c r="E54" s="1"/>
  <c r="D53"/>
  <c r="E53" s="1"/>
  <c r="D52"/>
  <c r="E52" s="1"/>
  <c r="D51"/>
  <c r="F51" s="1"/>
  <c r="D50"/>
  <c r="E50" s="1"/>
  <c r="E49"/>
  <c r="D49"/>
  <c r="F49" s="1"/>
  <c r="D48"/>
  <c r="F48" s="1"/>
  <c r="D47"/>
  <c r="E47" s="1"/>
  <c r="D46"/>
  <c r="E46" s="1"/>
  <c r="D45"/>
  <c r="E45" s="1"/>
  <c r="D44"/>
  <c r="E44" s="1"/>
  <c r="D43"/>
  <c r="F43" s="1"/>
  <c r="D42"/>
  <c r="E42" s="1"/>
  <c r="E41"/>
  <c r="D41"/>
  <c r="F41" s="1"/>
  <c r="D40"/>
  <c r="E40" s="1"/>
  <c r="D39"/>
  <c r="E39" s="1"/>
  <c r="D38"/>
  <c r="E38" s="1"/>
  <c r="D37"/>
  <c r="E37" s="1"/>
  <c r="D36"/>
  <c r="E36" s="1"/>
  <c r="D35"/>
  <c r="F35" s="1"/>
  <c r="D34"/>
  <c r="E34" s="1"/>
  <c r="D33"/>
  <c r="F33" s="1"/>
  <c r="D32"/>
  <c r="E32" s="1"/>
  <c r="D31"/>
  <c r="E31" s="1"/>
  <c r="D30"/>
  <c r="E30" s="1"/>
  <c r="D29"/>
  <c r="E29" s="1"/>
  <c r="D28"/>
  <c r="E28" s="1"/>
  <c r="D27"/>
  <c r="F27" s="1"/>
  <c r="D26"/>
  <c r="E26" s="1"/>
  <c r="D25"/>
  <c r="F25" s="1"/>
  <c r="D24"/>
  <c r="E24" s="1"/>
  <c r="D23"/>
  <c r="E23" s="1"/>
  <c r="D22"/>
  <c r="E22" s="1"/>
  <c r="F21"/>
  <c r="D21"/>
  <c r="E21" s="1"/>
  <c r="D20"/>
  <c r="E20" s="1"/>
  <c r="E19"/>
  <c r="D19"/>
  <c r="F19" s="1"/>
  <c r="D18"/>
  <c r="E18" s="1"/>
  <c r="D17"/>
  <c r="F17" s="1"/>
  <c r="D16"/>
  <c r="E16" s="1"/>
  <c r="D15"/>
  <c r="E15" s="1"/>
  <c r="D14"/>
  <c r="E14" s="1"/>
  <c r="D13"/>
  <c r="E13" s="1"/>
  <c r="D12"/>
  <c r="E12" s="1"/>
  <c r="D11"/>
  <c r="F11" s="1"/>
  <c r="D10"/>
  <c r="E10" s="1"/>
  <c r="D9"/>
  <c r="F9" s="1"/>
  <c r="D8"/>
  <c r="E8" s="1"/>
  <c r="D7"/>
  <c r="E7" s="1"/>
  <c r="D6"/>
  <c r="E6" s="1"/>
  <c r="D5"/>
  <c r="F5" s="1"/>
  <c r="D65" i="4"/>
  <c r="F65" s="1"/>
  <c r="D64"/>
  <c r="E64" s="1"/>
  <c r="C66"/>
  <c r="D63"/>
  <c r="E63" s="1"/>
  <c r="D62"/>
  <c r="E62" s="1"/>
  <c r="D61"/>
  <c r="E61" s="1"/>
  <c r="D60"/>
  <c r="F60" s="1"/>
  <c r="D59"/>
  <c r="F59" s="1"/>
  <c r="D58"/>
  <c r="E58" s="1"/>
  <c r="D57"/>
  <c r="F57" s="1"/>
  <c r="D56"/>
  <c r="E56" s="1"/>
  <c r="D55"/>
  <c r="E55" s="1"/>
  <c r="D54"/>
  <c r="E54" s="1"/>
  <c r="D53"/>
  <c r="F53" s="1"/>
  <c r="D52"/>
  <c r="F52" s="1"/>
  <c r="D51"/>
  <c r="E51" s="1"/>
  <c r="D50"/>
  <c r="E50" s="1"/>
  <c r="E49"/>
  <c r="D49"/>
  <c r="F49" s="1"/>
  <c r="D48"/>
  <c r="E48" s="1"/>
  <c r="D47"/>
  <c r="E47" s="1"/>
  <c r="D46"/>
  <c r="E46" s="1"/>
  <c r="D45"/>
  <c r="F45" s="1"/>
  <c r="D44"/>
  <c r="F44" s="1"/>
  <c r="D43"/>
  <c r="F43" s="1"/>
  <c r="D42"/>
  <c r="E42" s="1"/>
  <c r="D41"/>
  <c r="F41" s="1"/>
  <c r="D40"/>
  <c r="E40" s="1"/>
  <c r="D39"/>
  <c r="E39" s="1"/>
  <c r="D38"/>
  <c r="F38" s="1"/>
  <c r="D37"/>
  <c r="F37" s="1"/>
  <c r="D36"/>
  <c r="F36" s="1"/>
  <c r="D35"/>
  <c r="E35" s="1"/>
  <c r="D34"/>
  <c r="E34" s="1"/>
  <c r="D33"/>
  <c r="F33" s="1"/>
  <c r="D32"/>
  <c r="E32" s="1"/>
  <c r="D31"/>
  <c r="E31" s="1"/>
  <c r="F30"/>
  <c r="D30"/>
  <c r="E30" s="1"/>
  <c r="D29"/>
  <c r="F29" s="1"/>
  <c r="D28"/>
  <c r="F28" s="1"/>
  <c r="D27"/>
  <c r="E27" s="1"/>
  <c r="D26"/>
  <c r="E26" s="1"/>
  <c r="D25"/>
  <c r="F25" s="1"/>
  <c r="D24"/>
  <c r="E24" s="1"/>
  <c r="D23"/>
  <c r="E23" s="1"/>
  <c r="D22"/>
  <c r="E22" s="1"/>
  <c r="D21"/>
  <c r="F21" s="1"/>
  <c r="D20"/>
  <c r="F20" s="1"/>
  <c r="D19"/>
  <c r="F19" s="1"/>
  <c r="D18"/>
  <c r="F18" s="1"/>
  <c r="E17"/>
  <c r="D17"/>
  <c r="F17" s="1"/>
  <c r="D16"/>
  <c r="E16" s="1"/>
  <c r="D15"/>
  <c r="E15" s="1"/>
  <c r="D14"/>
  <c r="F14" s="1"/>
  <c r="D13"/>
  <c r="F13" s="1"/>
  <c r="D12"/>
  <c r="F12" s="1"/>
  <c r="E11"/>
  <c r="D11"/>
  <c r="F11" s="1"/>
  <c r="D10"/>
  <c r="F10" s="1"/>
  <c r="D9"/>
  <c r="F9" s="1"/>
  <c r="D8"/>
  <c r="E8" s="1"/>
  <c r="D7"/>
  <c r="E7" s="1"/>
  <c r="D6"/>
  <c r="F6" s="1"/>
  <c r="D5"/>
  <c r="F5" s="1"/>
  <c r="D64" i="1"/>
  <c r="E64" s="1"/>
  <c r="F64"/>
  <c r="D63"/>
  <c r="F63" s="1"/>
  <c r="D62"/>
  <c r="F62" s="1"/>
  <c r="D61"/>
  <c r="E61" s="1"/>
  <c r="D60"/>
  <c r="F60" s="1"/>
  <c r="C65"/>
  <c r="D6"/>
  <c r="E6" s="1"/>
  <c r="D7"/>
  <c r="E7" s="1"/>
  <c r="D8"/>
  <c r="E8" s="1"/>
  <c r="D9"/>
  <c r="F9" s="1"/>
  <c r="D10"/>
  <c r="E10" s="1"/>
  <c r="D11"/>
  <c r="E11" s="1"/>
  <c r="D12"/>
  <c r="E12" s="1"/>
  <c r="D13"/>
  <c r="F13" s="1"/>
  <c r="D14"/>
  <c r="E14" s="1"/>
  <c r="D15"/>
  <c r="E15" s="1"/>
  <c r="D16"/>
  <c r="E16" s="1"/>
  <c r="D17"/>
  <c r="F17" s="1"/>
  <c r="D18"/>
  <c r="E18" s="1"/>
  <c r="D19"/>
  <c r="E19" s="1"/>
  <c r="D20"/>
  <c r="E20" s="1"/>
  <c r="D21"/>
  <c r="F21" s="1"/>
  <c r="D22"/>
  <c r="E22" s="1"/>
  <c r="D23"/>
  <c r="E23" s="1"/>
  <c r="D24"/>
  <c r="E24" s="1"/>
  <c r="D25"/>
  <c r="F25" s="1"/>
  <c r="D26"/>
  <c r="E26" s="1"/>
  <c r="D27"/>
  <c r="E27" s="1"/>
  <c r="D28"/>
  <c r="E28" s="1"/>
  <c r="D29"/>
  <c r="F29" s="1"/>
  <c r="D30"/>
  <c r="E30" s="1"/>
  <c r="D31"/>
  <c r="E31" s="1"/>
  <c r="D32"/>
  <c r="E32" s="1"/>
  <c r="D33"/>
  <c r="F33" s="1"/>
  <c r="D34"/>
  <c r="F34" s="1"/>
  <c r="D35"/>
  <c r="E35" s="1"/>
  <c r="D36"/>
  <c r="E36" s="1"/>
  <c r="D37"/>
  <c r="F37" s="1"/>
  <c r="D38"/>
  <c r="E38" s="1"/>
  <c r="D39"/>
  <c r="E39" s="1"/>
  <c r="D40"/>
  <c r="E40" s="1"/>
  <c r="D41"/>
  <c r="F41" s="1"/>
  <c r="D42"/>
  <c r="E42" s="1"/>
  <c r="D43"/>
  <c r="E43" s="1"/>
  <c r="D44"/>
  <c r="E44" s="1"/>
  <c r="D45"/>
  <c r="F45" s="1"/>
  <c r="D46"/>
  <c r="E46" s="1"/>
  <c r="D47"/>
  <c r="E47" s="1"/>
  <c r="D48"/>
  <c r="E48" s="1"/>
  <c r="D49"/>
  <c r="F49" s="1"/>
  <c r="D50"/>
  <c r="E50" s="1"/>
  <c r="D51"/>
  <c r="E51" s="1"/>
  <c r="D52"/>
  <c r="E52" s="1"/>
  <c r="D53"/>
  <c r="F53" s="1"/>
  <c r="D54"/>
  <c r="E54" s="1"/>
  <c r="D55"/>
  <c r="E55" s="1"/>
  <c r="D56"/>
  <c r="E56" s="1"/>
  <c r="D57"/>
  <c r="F57" s="1"/>
  <c r="D58"/>
  <c r="E58" s="1"/>
  <c r="D59"/>
  <c r="E59" s="1"/>
  <c r="D5"/>
  <c r="F5" s="1"/>
  <c r="F39" i="12" l="1"/>
  <c r="F23"/>
  <c r="F34"/>
  <c r="F31"/>
  <c r="F26"/>
  <c r="F18"/>
  <c r="F15"/>
  <c r="F7"/>
  <c r="F5"/>
  <c r="F9"/>
  <c r="F13"/>
  <c r="F17"/>
  <c r="F21"/>
  <c r="F25"/>
  <c r="F29"/>
  <c r="F33"/>
  <c r="F37"/>
  <c r="F41"/>
  <c r="D42"/>
  <c r="E8"/>
  <c r="E16"/>
  <c r="E24"/>
  <c r="E32"/>
  <c r="E40"/>
  <c r="F12"/>
  <c r="F20"/>
  <c r="F28"/>
  <c r="F36"/>
  <c r="F6"/>
  <c r="F14"/>
  <c r="F22"/>
  <c r="F30"/>
  <c r="F38"/>
  <c r="F11"/>
  <c r="F19"/>
  <c r="F27"/>
  <c r="F35"/>
  <c r="E19" i="7"/>
  <c r="E18"/>
  <c r="E21"/>
  <c r="D24"/>
  <c r="F10"/>
  <c r="F12" i="11"/>
  <c r="F20"/>
  <c r="F28"/>
  <c r="F36"/>
  <c r="F44"/>
  <c r="F52"/>
  <c r="F60"/>
  <c r="F11"/>
  <c r="F68" s="1"/>
  <c r="F2" s="1"/>
  <c r="F27"/>
  <c r="F35"/>
  <c r="F43"/>
  <c r="F67"/>
  <c r="F19"/>
  <c r="F51"/>
  <c r="F59"/>
  <c r="E11" i="10"/>
  <c r="F14"/>
  <c r="F13"/>
  <c r="E17"/>
  <c r="E12"/>
  <c r="E9"/>
  <c r="F6"/>
  <c r="E5"/>
  <c r="F7"/>
  <c r="E15"/>
  <c r="D18"/>
  <c r="F8"/>
  <c r="F16"/>
  <c r="E66" i="9"/>
  <c r="F65"/>
  <c r="E64"/>
  <c r="E63"/>
  <c r="E62"/>
  <c r="F61"/>
  <c r="E56"/>
  <c r="F43"/>
  <c r="F38"/>
  <c r="F32"/>
  <c r="F29"/>
  <c r="E24"/>
  <c r="F11"/>
  <c r="E9"/>
  <c r="F23"/>
  <c r="F45"/>
  <c r="F55"/>
  <c r="F8"/>
  <c r="F19"/>
  <c r="F30"/>
  <c r="E33"/>
  <c r="F40"/>
  <c r="F51"/>
  <c r="F67"/>
  <c r="F5"/>
  <c r="F37"/>
  <c r="F7"/>
  <c r="F39"/>
  <c r="E17"/>
  <c r="E49"/>
  <c r="E10"/>
  <c r="E18"/>
  <c r="E26"/>
  <c r="E34"/>
  <c r="E42"/>
  <c r="E50"/>
  <c r="E58"/>
  <c r="F12"/>
  <c r="F20"/>
  <c r="F28"/>
  <c r="F36"/>
  <c r="F44"/>
  <c r="F52"/>
  <c r="F60"/>
  <c r="D68"/>
  <c r="F49" i="8"/>
  <c r="F46"/>
  <c r="F33"/>
  <c r="F9"/>
  <c r="F6"/>
  <c r="E52"/>
  <c r="F57"/>
  <c r="E23"/>
  <c r="E39"/>
  <c r="F44"/>
  <c r="E14"/>
  <c r="E47"/>
  <c r="F25"/>
  <c r="E38"/>
  <c r="F51"/>
  <c r="E55"/>
  <c r="E60"/>
  <c r="F20"/>
  <c r="E15"/>
  <c r="F41"/>
  <c r="E54"/>
  <c r="F59"/>
  <c r="F19"/>
  <c r="E31"/>
  <c r="E62"/>
  <c r="F30"/>
  <c r="F17"/>
  <c r="F43"/>
  <c r="F8"/>
  <c r="F16"/>
  <c r="F24"/>
  <c r="F32"/>
  <c r="F40"/>
  <c r="F48"/>
  <c r="F56"/>
  <c r="F5"/>
  <c r="F13"/>
  <c r="F21"/>
  <c r="F29"/>
  <c r="F37"/>
  <c r="F45"/>
  <c r="F53"/>
  <c r="F61"/>
  <c r="F10"/>
  <c r="F18"/>
  <c r="F26"/>
  <c r="F34"/>
  <c r="F42"/>
  <c r="F50"/>
  <c r="F58"/>
  <c r="F9" i="7"/>
  <c r="E13"/>
  <c r="E12"/>
  <c r="F6"/>
  <c r="F11"/>
  <c r="F22"/>
  <c r="F14"/>
  <c r="E5"/>
  <c r="F17"/>
  <c r="E20"/>
  <c r="F7"/>
  <c r="E15"/>
  <c r="E23"/>
  <c r="F8"/>
  <c r="F16"/>
  <c r="F24" i="5"/>
  <c r="E38" i="4"/>
  <c r="D66"/>
  <c r="E43"/>
  <c r="F5" i="2"/>
  <c r="F34" i="4"/>
  <c r="E53"/>
  <c r="E67" i="6"/>
  <c r="F35"/>
  <c r="F55"/>
  <c r="F10"/>
  <c r="F60"/>
  <c r="F51"/>
  <c r="E66"/>
  <c r="E65"/>
  <c r="E64"/>
  <c r="E63"/>
  <c r="E58"/>
  <c r="F31"/>
  <c r="F20"/>
  <c r="F39"/>
  <c r="F14"/>
  <c r="F7"/>
  <c r="F8"/>
  <c r="F11"/>
  <c r="F47"/>
  <c r="F59"/>
  <c r="F13"/>
  <c r="F27"/>
  <c r="F43"/>
  <c r="F16"/>
  <c r="E6"/>
  <c r="E9"/>
  <c r="E12"/>
  <c r="E15"/>
  <c r="F17"/>
  <c r="E19"/>
  <c r="E23"/>
  <c r="E26"/>
  <c r="E30"/>
  <c r="E34"/>
  <c r="E38"/>
  <c r="E42"/>
  <c r="E46"/>
  <c r="E50"/>
  <c r="E54"/>
  <c r="F21"/>
  <c r="F24"/>
  <c r="F28"/>
  <c r="F32"/>
  <c r="F36"/>
  <c r="F40"/>
  <c r="F44"/>
  <c r="F48"/>
  <c r="F52"/>
  <c r="F56"/>
  <c r="F22"/>
  <c r="F29"/>
  <c r="F37"/>
  <c r="F45"/>
  <c r="F53"/>
  <c r="F61"/>
  <c r="D68"/>
  <c r="F5"/>
  <c r="F18"/>
  <c r="F25"/>
  <c r="F33"/>
  <c r="F41"/>
  <c r="F49"/>
  <c r="F57"/>
  <c r="F62"/>
  <c r="E8" i="2"/>
  <c r="F6"/>
  <c r="E7"/>
  <c r="D9"/>
  <c r="E66" i="5"/>
  <c r="E65"/>
  <c r="F67"/>
  <c r="E35"/>
  <c r="F46"/>
  <c r="F40"/>
  <c r="F45"/>
  <c r="F54"/>
  <c r="E51"/>
  <c r="F37"/>
  <c r="E33"/>
  <c r="F29"/>
  <c r="F14"/>
  <c r="F8"/>
  <c r="E9"/>
  <c r="F6"/>
  <c r="F68" s="1"/>
  <c r="E43"/>
  <c r="E48"/>
  <c r="F38"/>
  <c r="D68"/>
  <c r="F32"/>
  <c r="F13"/>
  <c r="E17"/>
  <c r="E27"/>
  <c r="F59"/>
  <c r="E64"/>
  <c r="F16"/>
  <c r="E11"/>
  <c r="E25"/>
  <c r="F30"/>
  <c r="F53"/>
  <c r="E57"/>
  <c r="F62"/>
  <c r="E5"/>
  <c r="F10"/>
  <c r="F18"/>
  <c r="F26"/>
  <c r="F34"/>
  <c r="F42"/>
  <c r="F50"/>
  <c r="F58"/>
  <c r="F7"/>
  <c r="F15"/>
  <c r="F23"/>
  <c r="F31"/>
  <c r="F39"/>
  <c r="F47"/>
  <c r="F55"/>
  <c r="F63"/>
  <c r="F12"/>
  <c r="F20"/>
  <c r="F28"/>
  <c r="F36"/>
  <c r="F44"/>
  <c r="F52"/>
  <c r="F60"/>
  <c r="F22"/>
  <c r="E25" i="4"/>
  <c r="F15"/>
  <c r="E21"/>
  <c r="E45"/>
  <c r="E65"/>
  <c r="F64"/>
  <c r="F58"/>
  <c r="E57"/>
  <c r="F54"/>
  <c r="F47"/>
  <c r="F39"/>
  <c r="F35"/>
  <c r="E19"/>
  <c r="E13"/>
  <c r="E10"/>
  <c r="E9"/>
  <c r="F7"/>
  <c r="E6"/>
  <c r="E5"/>
  <c r="E14"/>
  <c r="E18"/>
  <c r="E29"/>
  <c r="E33"/>
  <c r="F51"/>
  <c r="F55"/>
  <c r="E59"/>
  <c r="F27"/>
  <c r="F31"/>
  <c r="F46"/>
  <c r="F50"/>
  <c r="F62"/>
  <c r="F23"/>
  <c r="F42"/>
  <c r="F22"/>
  <c r="F26"/>
  <c r="E37"/>
  <c r="E41"/>
  <c r="E12"/>
  <c r="E20"/>
  <c r="E28"/>
  <c r="E36"/>
  <c r="E44"/>
  <c r="E52"/>
  <c r="E60"/>
  <c r="F24"/>
  <c r="F32"/>
  <c r="F56"/>
  <c r="F8"/>
  <c r="F16"/>
  <c r="F40"/>
  <c r="F48"/>
  <c r="F61"/>
  <c r="F63"/>
  <c r="D65" i="1"/>
  <c r="E63"/>
  <c r="E62"/>
  <c r="F61"/>
  <c r="E60"/>
  <c r="E57"/>
  <c r="E25"/>
  <c r="E5"/>
  <c r="E29"/>
  <c r="E33"/>
  <c r="E37"/>
  <c r="E41"/>
  <c r="E9"/>
  <c r="E45"/>
  <c r="E13"/>
  <c r="E49"/>
  <c r="E17"/>
  <c r="E53"/>
  <c r="E21"/>
  <c r="F58"/>
  <c r="F50"/>
  <c r="F42"/>
  <c r="F26"/>
  <c r="F18"/>
  <c r="F10"/>
  <c r="E34"/>
  <c r="F59"/>
  <c r="F51"/>
  <c r="F43"/>
  <c r="F35"/>
  <c r="F27"/>
  <c r="F19"/>
  <c r="F11"/>
  <c r="F52"/>
  <c r="F44"/>
  <c r="F36"/>
  <c r="F28"/>
  <c r="F20"/>
  <c r="F12"/>
  <c r="F54"/>
  <c r="F46"/>
  <c r="F38"/>
  <c r="F30"/>
  <c r="F22"/>
  <c r="F14"/>
  <c r="F6"/>
  <c r="F65" s="1"/>
  <c r="F55"/>
  <c r="F47"/>
  <c r="F39"/>
  <c r="F31"/>
  <c r="F23"/>
  <c r="F15"/>
  <c r="F7"/>
  <c r="F56"/>
  <c r="F48"/>
  <c r="F40"/>
  <c r="F32"/>
  <c r="F24"/>
  <c r="F16"/>
  <c r="F8"/>
  <c r="F42" i="12" l="1"/>
  <c r="F2" s="1"/>
  <c r="F18" i="10"/>
  <c r="F2" s="1"/>
  <c r="F68" i="9"/>
  <c r="F2" s="1"/>
  <c r="F24" i="7"/>
  <c r="F2" s="1"/>
  <c r="F68" i="6"/>
  <c r="F2" s="1"/>
  <c r="F9" i="2"/>
  <c r="F2" s="1"/>
  <c r="F2" i="5"/>
  <c r="F66" i="4"/>
  <c r="F2" s="1"/>
  <c r="F2" i="1"/>
</calcChain>
</file>

<file path=xl/sharedStrings.xml><?xml version="1.0" encoding="utf-8"?>
<sst xmlns="http://schemas.openxmlformats.org/spreadsheetml/2006/main" count="88" uniqueCount="17">
  <si>
    <t>NOTA FISCAL</t>
  </si>
  <si>
    <t>VALOR NF</t>
  </si>
  <si>
    <t xml:space="preserve">VALOR IR </t>
  </si>
  <si>
    <t>CONDIÇÃO</t>
  </si>
  <si>
    <t>TOTAL</t>
  </si>
  <si>
    <t>VALOR DA GUIA</t>
  </si>
  <si>
    <t>PROCESSO N° 2904/2026 - INOVAR</t>
  </si>
  <si>
    <t>IR</t>
  </si>
  <si>
    <t>PROCESSO N° 2927/2026 - RG DISTRIBUIDORA</t>
  </si>
  <si>
    <t>PROCESSO N° 3268/2026 - RG Distribuidora</t>
  </si>
  <si>
    <t>PROCESSO N° 3310/2026 - SUPPLY</t>
  </si>
  <si>
    <t>PROCESSO N° 3265/2026 - RG Distribuidora</t>
  </si>
  <si>
    <t>PROCESSO N° 3665/2026 - RG Distribuidora</t>
  </si>
  <si>
    <t>PROCESSO N° 3666/2026 - RG Distribuidora</t>
  </si>
  <si>
    <t>PROCESSO N° 4564/2026 - Supergasbrás</t>
  </si>
  <si>
    <t>PROCESSO N° 5949/2026 - RG Distribuidora</t>
  </si>
  <si>
    <t>PROCESSO N° 4313/2026 - C TEIXEIRA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</si>
</sst>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3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4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4" fontId="0" fillId="0" borderId="4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1" xfId="0" applyNumberFormat="1" applyBorder="1"/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2" fontId="1" fillId="0" borderId="9" xfId="0" applyNumberFormat="1" applyFont="1" applyBorder="1" applyAlignment="1">
      <alignment horizontal="right"/>
    </xf>
    <xf numFmtId="2" fontId="1" fillId="0" borderId="11" xfId="0" applyNumberFormat="1" applyFont="1" applyBorder="1"/>
    <xf numFmtId="2" fontId="0" fillId="0" borderId="2" xfId="0" applyNumberFormat="1" applyBorder="1" applyAlignment="1">
      <alignment horizontal="center"/>
    </xf>
    <xf numFmtId="4" fontId="0" fillId="0" borderId="0" xfId="0" applyNumberFormat="1" applyBorder="1"/>
    <xf numFmtId="2" fontId="0" fillId="0" borderId="0" xfId="0" applyNumberFormat="1" applyBorder="1" applyAlignment="1">
      <alignment horizontal="left"/>
    </xf>
    <xf numFmtId="4" fontId="0" fillId="0" borderId="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44" fontId="0" fillId="0" borderId="4" xfId="1" applyFont="1" applyBorder="1" applyAlignment="1">
      <alignment horizontal="center" vertical="center"/>
    </xf>
    <xf numFmtId="44" fontId="0" fillId="0" borderId="0" xfId="1" applyFont="1"/>
    <xf numFmtId="44" fontId="0" fillId="0" borderId="2" xfId="1" applyFont="1" applyBorder="1" applyAlignment="1">
      <alignment horizontal="center" vertical="center"/>
    </xf>
    <xf numFmtId="44" fontId="1" fillId="0" borderId="11" xfId="1" applyFont="1" applyBorder="1"/>
    <xf numFmtId="44" fontId="0" fillId="0" borderId="4" xfId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11"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</dxfs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86"/>
  <sheetViews>
    <sheetView workbookViewId="0">
      <pane ySplit="2" topLeftCell="A51" activePane="bottomLeft" state="frozen"/>
      <selection pane="bottomLeft" activeCell="I70" sqref="I70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6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29">
        <f t="shared" ref="F2" si="0">F65</f>
        <v>110.50751999999999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1334</v>
      </c>
      <c r="C5" s="13">
        <v>1003.62</v>
      </c>
      <c r="D5" s="5">
        <f>C5*1.2%</f>
        <v>12.04344</v>
      </c>
      <c r="E5" s="5" t="str">
        <f>IF(D5&lt;=10,"NÃO","SIM")</f>
        <v>SIM</v>
      </c>
      <c r="F5" s="19">
        <f>IF((D5)&lt;10," ",D5)</f>
        <v>12.04344</v>
      </c>
    </row>
    <row r="6" spans="2:6">
      <c r="B6" s="6">
        <v>1335</v>
      </c>
      <c r="C6" s="14">
        <v>422.13</v>
      </c>
      <c r="D6" s="5">
        <f t="shared" ref="D6:D64" si="1">C6*1.2%</f>
        <v>5.0655599999999996</v>
      </c>
      <c r="E6" s="5" t="str">
        <f t="shared" ref="E6:E64" si="2">IF(D6&lt;=10,"NÃO","SIM")</f>
        <v>NÃO</v>
      </c>
      <c r="F6" s="20" t="str">
        <f t="shared" ref="F6:F64" si="3">IF((D6)&lt;10," ",D6)</f>
        <v xml:space="preserve"> </v>
      </c>
    </row>
    <row r="7" spans="2:6">
      <c r="B7" s="6">
        <v>1336</v>
      </c>
      <c r="C7" s="14">
        <v>208.96</v>
      </c>
      <c r="D7" s="5">
        <f t="shared" si="1"/>
        <v>2.50752</v>
      </c>
      <c r="E7" s="5" t="str">
        <f t="shared" si="2"/>
        <v>NÃO</v>
      </c>
      <c r="F7" s="20" t="str">
        <f t="shared" si="3"/>
        <v xml:space="preserve"> </v>
      </c>
    </row>
    <row r="8" spans="2:6">
      <c r="B8" s="6">
        <v>1337</v>
      </c>
      <c r="C8" s="14">
        <v>123.94</v>
      </c>
      <c r="D8" s="5">
        <f t="shared" si="1"/>
        <v>1.4872799999999999</v>
      </c>
      <c r="E8" s="5" t="str">
        <f t="shared" si="2"/>
        <v>NÃO</v>
      </c>
      <c r="F8" s="20" t="str">
        <f t="shared" si="3"/>
        <v xml:space="preserve"> </v>
      </c>
    </row>
    <row r="9" spans="2:6">
      <c r="B9" s="6">
        <v>1338</v>
      </c>
      <c r="C9" s="14">
        <v>687.68</v>
      </c>
      <c r="D9" s="5">
        <f t="shared" si="1"/>
        <v>8.2521599999999999</v>
      </c>
      <c r="E9" s="5" t="str">
        <f t="shared" si="2"/>
        <v>NÃO</v>
      </c>
      <c r="F9" s="20" t="str">
        <f t="shared" si="3"/>
        <v xml:space="preserve"> </v>
      </c>
    </row>
    <row r="10" spans="2:6">
      <c r="B10" s="6">
        <v>1339</v>
      </c>
      <c r="C10" s="14">
        <v>82.05</v>
      </c>
      <c r="D10" s="5">
        <f t="shared" si="1"/>
        <v>0.98460000000000003</v>
      </c>
      <c r="E10" s="5" t="str">
        <f t="shared" si="2"/>
        <v>NÃO</v>
      </c>
      <c r="F10" s="20" t="str">
        <f t="shared" si="3"/>
        <v xml:space="preserve"> </v>
      </c>
    </row>
    <row r="11" spans="2:6">
      <c r="B11" s="6">
        <v>1340</v>
      </c>
      <c r="C11" s="14">
        <v>108.28</v>
      </c>
      <c r="D11" s="5">
        <f t="shared" si="1"/>
        <v>1.2993600000000001</v>
      </c>
      <c r="E11" s="5" t="str">
        <f t="shared" si="2"/>
        <v>NÃO</v>
      </c>
      <c r="F11" s="20" t="str">
        <f t="shared" si="3"/>
        <v xml:space="preserve"> </v>
      </c>
    </row>
    <row r="12" spans="2:6">
      <c r="B12" s="6">
        <v>1341</v>
      </c>
      <c r="C12" s="14">
        <v>734.6</v>
      </c>
      <c r="D12" s="5">
        <f t="shared" si="1"/>
        <v>8.8152000000000008</v>
      </c>
      <c r="E12" s="5" t="str">
        <f t="shared" si="2"/>
        <v>NÃO</v>
      </c>
      <c r="F12" s="20" t="str">
        <f t="shared" si="3"/>
        <v xml:space="preserve"> </v>
      </c>
    </row>
    <row r="13" spans="2:6">
      <c r="B13" s="6">
        <v>1342</v>
      </c>
      <c r="C13" s="14">
        <v>1449.05</v>
      </c>
      <c r="D13" s="5">
        <f t="shared" si="1"/>
        <v>17.3886</v>
      </c>
      <c r="E13" s="5" t="str">
        <f t="shared" si="2"/>
        <v>SIM</v>
      </c>
      <c r="F13" s="20">
        <f t="shared" si="3"/>
        <v>17.3886</v>
      </c>
    </row>
    <row r="14" spans="2:6">
      <c r="B14" s="6">
        <v>1343</v>
      </c>
      <c r="C14" s="14">
        <v>152.15</v>
      </c>
      <c r="D14" s="5">
        <f t="shared" si="1"/>
        <v>1.8258000000000001</v>
      </c>
      <c r="E14" s="5" t="str">
        <f t="shared" si="2"/>
        <v>NÃO</v>
      </c>
      <c r="F14" s="20" t="str">
        <f t="shared" si="3"/>
        <v xml:space="preserve"> </v>
      </c>
    </row>
    <row r="15" spans="2:6">
      <c r="B15" s="6">
        <v>1344</v>
      </c>
      <c r="C15" s="14">
        <v>416.9</v>
      </c>
      <c r="D15" s="5">
        <f t="shared" si="1"/>
        <v>5.0027999999999997</v>
      </c>
      <c r="E15" s="5" t="str">
        <f t="shared" si="2"/>
        <v>NÃO</v>
      </c>
      <c r="F15" s="20" t="str">
        <f t="shared" si="3"/>
        <v xml:space="preserve"> </v>
      </c>
    </row>
    <row r="16" spans="2:6">
      <c r="B16" s="6">
        <v>1345</v>
      </c>
      <c r="C16" s="14">
        <v>129.27000000000001</v>
      </c>
      <c r="D16" s="5">
        <f t="shared" si="1"/>
        <v>1.5512400000000002</v>
      </c>
      <c r="E16" s="5" t="str">
        <f t="shared" si="2"/>
        <v>NÃO</v>
      </c>
      <c r="F16" s="20" t="str">
        <f t="shared" si="3"/>
        <v xml:space="preserve"> </v>
      </c>
    </row>
    <row r="17" spans="2:6">
      <c r="B17" s="6">
        <v>1346</v>
      </c>
      <c r="C17" s="14">
        <v>777.06</v>
      </c>
      <c r="D17" s="5">
        <f t="shared" si="1"/>
        <v>9.3247199999999992</v>
      </c>
      <c r="E17" s="5" t="str">
        <f t="shared" si="2"/>
        <v>NÃO</v>
      </c>
      <c r="F17" s="20" t="str">
        <f t="shared" si="3"/>
        <v xml:space="preserve"> </v>
      </c>
    </row>
    <row r="18" spans="2:6">
      <c r="B18" s="6">
        <v>1347</v>
      </c>
      <c r="C18" s="14">
        <v>266.02</v>
      </c>
      <c r="D18" s="5">
        <f t="shared" si="1"/>
        <v>3.19224</v>
      </c>
      <c r="E18" s="5" t="str">
        <f t="shared" si="2"/>
        <v>NÃO</v>
      </c>
      <c r="F18" s="20" t="str">
        <f t="shared" si="3"/>
        <v xml:space="preserve"> </v>
      </c>
    </row>
    <row r="19" spans="2:6">
      <c r="B19" s="6">
        <v>1348</v>
      </c>
      <c r="C19" s="14">
        <v>518.91</v>
      </c>
      <c r="D19" s="5">
        <f t="shared" si="1"/>
        <v>6.2269199999999998</v>
      </c>
      <c r="E19" s="5" t="str">
        <f t="shared" si="2"/>
        <v>NÃO</v>
      </c>
      <c r="F19" s="20" t="str">
        <f t="shared" si="3"/>
        <v xml:space="preserve"> </v>
      </c>
    </row>
    <row r="20" spans="2:6">
      <c r="B20" s="6">
        <v>1349</v>
      </c>
      <c r="C20" s="14">
        <v>849.02</v>
      </c>
      <c r="D20" s="5">
        <f t="shared" si="1"/>
        <v>10.18824</v>
      </c>
      <c r="E20" s="5" t="str">
        <f t="shared" si="2"/>
        <v>SIM</v>
      </c>
      <c r="F20" s="20">
        <f t="shared" si="3"/>
        <v>10.18824</v>
      </c>
    </row>
    <row r="21" spans="2:6">
      <c r="B21" s="6">
        <v>1350</v>
      </c>
      <c r="C21" s="14">
        <v>1257</v>
      </c>
      <c r="D21" s="5">
        <f t="shared" si="1"/>
        <v>15.084</v>
      </c>
      <c r="E21" s="5" t="str">
        <f t="shared" si="2"/>
        <v>SIM</v>
      </c>
      <c r="F21" s="20">
        <f t="shared" si="3"/>
        <v>15.084</v>
      </c>
    </row>
    <row r="22" spans="2:6">
      <c r="B22" s="6">
        <v>1351</v>
      </c>
      <c r="C22" s="14">
        <v>309.57</v>
      </c>
      <c r="D22" s="5">
        <f t="shared" si="1"/>
        <v>3.7148400000000001</v>
      </c>
      <c r="E22" s="5" t="str">
        <f t="shared" si="2"/>
        <v>NÃO</v>
      </c>
      <c r="F22" s="20" t="str">
        <f t="shared" si="3"/>
        <v xml:space="preserve"> </v>
      </c>
    </row>
    <row r="23" spans="2:6">
      <c r="B23" s="6">
        <v>1352</v>
      </c>
      <c r="C23" s="14">
        <v>356.73</v>
      </c>
      <c r="D23" s="5">
        <f t="shared" si="1"/>
        <v>4.2807599999999999</v>
      </c>
      <c r="E23" s="5" t="str">
        <f t="shared" si="2"/>
        <v>NÃO</v>
      </c>
      <c r="F23" s="20" t="str">
        <f t="shared" si="3"/>
        <v xml:space="preserve"> </v>
      </c>
    </row>
    <row r="24" spans="2:6">
      <c r="B24" s="6">
        <v>1353</v>
      </c>
      <c r="C24" s="14">
        <v>694.09</v>
      </c>
      <c r="D24" s="5">
        <f t="shared" si="1"/>
        <v>8.3290800000000011</v>
      </c>
      <c r="E24" s="5" t="str">
        <f t="shared" si="2"/>
        <v>NÃO</v>
      </c>
      <c r="F24" s="20" t="str">
        <f t="shared" si="3"/>
        <v xml:space="preserve"> </v>
      </c>
    </row>
    <row r="25" spans="2:6">
      <c r="B25" s="6">
        <v>1354</v>
      </c>
      <c r="C25" s="14">
        <v>759.34</v>
      </c>
      <c r="D25" s="5">
        <f t="shared" si="1"/>
        <v>9.1120800000000006</v>
      </c>
      <c r="E25" s="5" t="str">
        <f t="shared" si="2"/>
        <v>NÃO</v>
      </c>
      <c r="F25" s="20" t="str">
        <f t="shared" si="3"/>
        <v xml:space="preserve"> </v>
      </c>
    </row>
    <row r="26" spans="2:6">
      <c r="B26" s="6">
        <v>1355</v>
      </c>
      <c r="C26" s="14">
        <v>375.59</v>
      </c>
      <c r="D26" s="5">
        <f t="shared" si="1"/>
        <v>4.5070800000000002</v>
      </c>
      <c r="E26" s="5" t="str">
        <f t="shared" si="2"/>
        <v>NÃO</v>
      </c>
      <c r="F26" s="20" t="str">
        <f t="shared" si="3"/>
        <v xml:space="preserve"> </v>
      </c>
    </row>
    <row r="27" spans="2:6">
      <c r="B27" s="6">
        <v>1356</v>
      </c>
      <c r="C27" s="14">
        <v>95.45</v>
      </c>
      <c r="D27" s="5">
        <f t="shared" si="1"/>
        <v>1.1454</v>
      </c>
      <c r="E27" s="5" t="str">
        <f t="shared" si="2"/>
        <v>NÃO</v>
      </c>
      <c r="F27" s="20" t="str">
        <f t="shared" si="3"/>
        <v xml:space="preserve"> </v>
      </c>
    </row>
    <row r="28" spans="2:6">
      <c r="B28" s="6">
        <v>1357</v>
      </c>
      <c r="C28" s="14">
        <v>230.47</v>
      </c>
      <c r="D28" s="5">
        <f t="shared" si="1"/>
        <v>2.7656399999999999</v>
      </c>
      <c r="E28" s="5" t="str">
        <f t="shared" si="2"/>
        <v>NÃO</v>
      </c>
      <c r="F28" s="20" t="str">
        <f t="shared" si="3"/>
        <v xml:space="preserve"> </v>
      </c>
    </row>
    <row r="29" spans="2:6">
      <c r="B29" s="6">
        <v>1358</v>
      </c>
      <c r="C29" s="14">
        <v>211.17</v>
      </c>
      <c r="D29" s="5">
        <f t="shared" si="1"/>
        <v>2.5340400000000001</v>
      </c>
      <c r="E29" s="5" t="str">
        <f t="shared" si="2"/>
        <v>NÃO</v>
      </c>
      <c r="F29" s="20" t="str">
        <f t="shared" si="3"/>
        <v xml:space="preserve"> </v>
      </c>
    </row>
    <row r="30" spans="2:6">
      <c r="B30" s="6">
        <v>1359</v>
      </c>
      <c r="C30" s="14">
        <v>404.44</v>
      </c>
      <c r="D30" s="5">
        <f t="shared" si="1"/>
        <v>4.8532799999999998</v>
      </c>
      <c r="E30" s="5" t="str">
        <f t="shared" si="2"/>
        <v>NÃO</v>
      </c>
      <c r="F30" s="20" t="str">
        <f t="shared" si="3"/>
        <v xml:space="preserve"> </v>
      </c>
    </row>
    <row r="31" spans="2:6">
      <c r="B31" s="6">
        <v>1360</v>
      </c>
      <c r="C31" s="14">
        <v>223.66</v>
      </c>
      <c r="D31" s="5">
        <f t="shared" si="1"/>
        <v>2.6839200000000001</v>
      </c>
      <c r="E31" s="5" t="str">
        <f t="shared" si="2"/>
        <v>NÃO</v>
      </c>
      <c r="F31" s="20" t="str">
        <f t="shared" si="3"/>
        <v xml:space="preserve"> </v>
      </c>
    </row>
    <row r="32" spans="2:6">
      <c r="B32" s="6">
        <v>1361</v>
      </c>
      <c r="C32" s="14">
        <v>98.4</v>
      </c>
      <c r="D32" s="5">
        <f t="shared" si="1"/>
        <v>1.1808000000000001</v>
      </c>
      <c r="E32" s="5" t="str">
        <f t="shared" si="2"/>
        <v>NÃO</v>
      </c>
      <c r="F32" s="20" t="str">
        <f t="shared" si="3"/>
        <v xml:space="preserve"> </v>
      </c>
    </row>
    <row r="33" spans="2:6">
      <c r="B33" s="6">
        <v>1362</v>
      </c>
      <c r="C33" s="14">
        <v>1834.5</v>
      </c>
      <c r="D33" s="5">
        <f t="shared" si="1"/>
        <v>22.013999999999999</v>
      </c>
      <c r="E33" s="5" t="str">
        <f t="shared" si="2"/>
        <v>SIM</v>
      </c>
      <c r="F33" s="20">
        <f t="shared" si="3"/>
        <v>22.013999999999999</v>
      </c>
    </row>
    <row r="34" spans="2:6">
      <c r="B34" s="6">
        <v>1363</v>
      </c>
      <c r="C34" s="14">
        <v>189.27</v>
      </c>
      <c r="D34" s="5">
        <f t="shared" si="1"/>
        <v>2.2712400000000001</v>
      </c>
      <c r="E34" s="5" t="str">
        <f t="shared" si="2"/>
        <v>NÃO</v>
      </c>
      <c r="F34" s="20" t="str">
        <f t="shared" si="3"/>
        <v xml:space="preserve"> </v>
      </c>
    </row>
    <row r="35" spans="2:6">
      <c r="B35" s="6">
        <v>1364</v>
      </c>
      <c r="C35" s="14">
        <v>623.97</v>
      </c>
      <c r="D35" s="5">
        <f t="shared" si="1"/>
        <v>7.4876400000000007</v>
      </c>
      <c r="E35" s="5" t="str">
        <f t="shared" si="2"/>
        <v>NÃO</v>
      </c>
      <c r="F35" s="20" t="str">
        <f t="shared" si="3"/>
        <v xml:space="preserve"> </v>
      </c>
    </row>
    <row r="36" spans="2:6">
      <c r="B36" s="6">
        <v>1365</v>
      </c>
      <c r="C36" s="14">
        <v>308.38</v>
      </c>
      <c r="D36" s="5">
        <f t="shared" si="1"/>
        <v>3.7005599999999998</v>
      </c>
      <c r="E36" s="5" t="str">
        <f t="shared" si="2"/>
        <v>NÃO</v>
      </c>
      <c r="F36" s="20" t="str">
        <f t="shared" si="3"/>
        <v xml:space="preserve"> </v>
      </c>
    </row>
    <row r="37" spans="2:6">
      <c r="B37" s="6">
        <v>1366</v>
      </c>
      <c r="C37" s="14">
        <v>516.45000000000005</v>
      </c>
      <c r="D37" s="5">
        <f t="shared" si="1"/>
        <v>6.1974000000000009</v>
      </c>
      <c r="E37" s="5" t="str">
        <f t="shared" si="2"/>
        <v>NÃO</v>
      </c>
      <c r="F37" s="20" t="str">
        <f t="shared" si="3"/>
        <v xml:space="preserve"> </v>
      </c>
    </row>
    <row r="38" spans="2:6">
      <c r="B38" s="6">
        <v>1367</v>
      </c>
      <c r="C38" s="14">
        <v>374.43</v>
      </c>
      <c r="D38" s="5">
        <f t="shared" si="1"/>
        <v>4.4931600000000005</v>
      </c>
      <c r="E38" s="5" t="str">
        <f t="shared" si="2"/>
        <v>NÃO</v>
      </c>
      <c r="F38" s="20" t="str">
        <f t="shared" si="3"/>
        <v xml:space="preserve"> </v>
      </c>
    </row>
    <row r="39" spans="2:6">
      <c r="B39" s="6">
        <v>1368</v>
      </c>
      <c r="C39" s="14">
        <v>287.2</v>
      </c>
      <c r="D39" s="5">
        <f t="shared" si="1"/>
        <v>3.4464000000000001</v>
      </c>
      <c r="E39" s="5" t="str">
        <f t="shared" si="2"/>
        <v>NÃO</v>
      </c>
      <c r="F39" s="20" t="str">
        <f t="shared" si="3"/>
        <v xml:space="preserve"> </v>
      </c>
    </row>
    <row r="40" spans="2:6">
      <c r="B40" s="6">
        <v>1369</v>
      </c>
      <c r="C40" s="14">
        <v>439.43</v>
      </c>
      <c r="D40" s="5">
        <f t="shared" si="1"/>
        <v>5.2731599999999998</v>
      </c>
      <c r="E40" s="5" t="str">
        <f t="shared" si="2"/>
        <v>NÃO</v>
      </c>
      <c r="F40" s="20" t="str">
        <f t="shared" si="3"/>
        <v xml:space="preserve"> </v>
      </c>
    </row>
    <row r="41" spans="2:6">
      <c r="B41" s="6">
        <v>1370</v>
      </c>
      <c r="C41" s="14">
        <v>437.97</v>
      </c>
      <c r="D41" s="5">
        <f t="shared" si="1"/>
        <v>5.2556400000000005</v>
      </c>
      <c r="E41" s="5" t="str">
        <f t="shared" si="2"/>
        <v>NÃO</v>
      </c>
      <c r="F41" s="20" t="str">
        <f t="shared" si="3"/>
        <v xml:space="preserve"> </v>
      </c>
    </row>
    <row r="42" spans="2:6">
      <c r="B42" s="6">
        <v>4371</v>
      </c>
      <c r="C42" s="14">
        <v>263.85000000000002</v>
      </c>
      <c r="D42" s="5">
        <f t="shared" si="1"/>
        <v>3.1662000000000003</v>
      </c>
      <c r="E42" s="5" t="str">
        <f t="shared" si="2"/>
        <v>NÃO</v>
      </c>
      <c r="F42" s="20" t="str">
        <f t="shared" si="3"/>
        <v xml:space="preserve"> </v>
      </c>
    </row>
    <row r="43" spans="2:6">
      <c r="B43" s="6">
        <v>1372</v>
      </c>
      <c r="C43" s="14">
        <v>759.34</v>
      </c>
      <c r="D43" s="5">
        <f t="shared" si="1"/>
        <v>9.1120800000000006</v>
      </c>
      <c r="E43" s="5" t="str">
        <f t="shared" si="2"/>
        <v>NÃO</v>
      </c>
      <c r="F43" s="20" t="str">
        <f t="shared" si="3"/>
        <v xml:space="preserve"> </v>
      </c>
    </row>
    <row r="44" spans="2:6">
      <c r="B44" s="6">
        <v>1373</v>
      </c>
      <c r="C44" s="14">
        <v>52.8</v>
      </c>
      <c r="D44" s="5">
        <f t="shared" si="1"/>
        <v>0.63359999999999994</v>
      </c>
      <c r="E44" s="5" t="str">
        <f t="shared" si="2"/>
        <v>NÃO</v>
      </c>
      <c r="F44" s="20" t="str">
        <f t="shared" si="3"/>
        <v xml:space="preserve"> </v>
      </c>
    </row>
    <row r="45" spans="2:6">
      <c r="B45" s="6">
        <v>1374</v>
      </c>
      <c r="C45" s="14">
        <v>84.09</v>
      </c>
      <c r="D45" s="5">
        <f t="shared" si="1"/>
        <v>1.00908</v>
      </c>
      <c r="E45" s="5" t="str">
        <f t="shared" si="2"/>
        <v>NÃO</v>
      </c>
      <c r="F45" s="20" t="str">
        <f t="shared" si="3"/>
        <v xml:space="preserve"> </v>
      </c>
    </row>
    <row r="46" spans="2:6">
      <c r="B46" s="6">
        <v>1375</v>
      </c>
      <c r="C46" s="14">
        <v>255.54</v>
      </c>
      <c r="D46" s="5">
        <f t="shared" si="1"/>
        <v>3.0664799999999999</v>
      </c>
      <c r="E46" s="5" t="str">
        <f t="shared" si="2"/>
        <v>NÃO</v>
      </c>
      <c r="F46" s="20" t="str">
        <f t="shared" si="3"/>
        <v xml:space="preserve"> </v>
      </c>
    </row>
    <row r="47" spans="2:6">
      <c r="B47" s="6">
        <v>1376</v>
      </c>
      <c r="C47" s="14">
        <v>580.62</v>
      </c>
      <c r="D47" s="5">
        <f t="shared" si="1"/>
        <v>6.9674399999999999</v>
      </c>
      <c r="E47" s="5" t="str">
        <f t="shared" si="2"/>
        <v>NÃO</v>
      </c>
      <c r="F47" s="20" t="str">
        <f t="shared" si="3"/>
        <v xml:space="preserve"> </v>
      </c>
    </row>
    <row r="48" spans="2:6">
      <c r="B48" s="6">
        <v>1377</v>
      </c>
      <c r="C48" s="14">
        <v>140.82</v>
      </c>
      <c r="D48" s="5">
        <f t="shared" si="1"/>
        <v>1.68984</v>
      </c>
      <c r="E48" s="5" t="str">
        <f t="shared" si="2"/>
        <v>NÃO</v>
      </c>
      <c r="F48" s="20" t="str">
        <f t="shared" si="3"/>
        <v xml:space="preserve"> </v>
      </c>
    </row>
    <row r="49" spans="2:6">
      <c r="B49" s="6">
        <v>1378</v>
      </c>
      <c r="C49" s="14">
        <v>82.87</v>
      </c>
      <c r="D49" s="5">
        <f t="shared" si="1"/>
        <v>0.9944400000000001</v>
      </c>
      <c r="E49" s="5" t="str">
        <f t="shared" si="2"/>
        <v>NÃO</v>
      </c>
      <c r="F49" s="20" t="str">
        <f t="shared" si="3"/>
        <v xml:space="preserve"> </v>
      </c>
    </row>
    <row r="50" spans="2:6">
      <c r="B50" s="6">
        <v>1379</v>
      </c>
      <c r="C50" s="14">
        <v>139.6</v>
      </c>
      <c r="D50" s="5">
        <f t="shared" si="1"/>
        <v>1.6752</v>
      </c>
      <c r="E50" s="5" t="str">
        <f t="shared" si="2"/>
        <v>NÃO</v>
      </c>
      <c r="F50" s="20" t="str">
        <f t="shared" si="3"/>
        <v xml:space="preserve"> </v>
      </c>
    </row>
    <row r="51" spans="2:6">
      <c r="B51" s="6">
        <v>1380</v>
      </c>
      <c r="C51" s="14">
        <v>60.09</v>
      </c>
      <c r="D51" s="30">
        <f t="shared" si="1"/>
        <v>0.72108000000000005</v>
      </c>
      <c r="E51" s="30" t="str">
        <f t="shared" si="2"/>
        <v>NÃO</v>
      </c>
      <c r="F51" s="20" t="str">
        <f t="shared" si="3"/>
        <v xml:space="preserve"> </v>
      </c>
    </row>
    <row r="52" spans="2:6">
      <c r="B52" s="6">
        <v>1381</v>
      </c>
      <c r="C52" s="14">
        <v>275.83999999999997</v>
      </c>
      <c r="D52" s="5">
        <f t="shared" si="1"/>
        <v>3.3100799999999997</v>
      </c>
      <c r="E52" s="5" t="str">
        <f t="shared" si="2"/>
        <v>NÃO</v>
      </c>
      <c r="F52" s="20" t="str">
        <f t="shared" si="3"/>
        <v xml:space="preserve"> </v>
      </c>
    </row>
    <row r="53" spans="2:6">
      <c r="B53" s="6">
        <v>1382</v>
      </c>
      <c r="C53" s="14">
        <v>145.22</v>
      </c>
      <c r="D53" s="5">
        <f t="shared" si="1"/>
        <v>1.74264</v>
      </c>
      <c r="E53" s="5" t="str">
        <f t="shared" si="2"/>
        <v>NÃO</v>
      </c>
      <c r="F53" s="20" t="str">
        <f t="shared" si="3"/>
        <v xml:space="preserve"> </v>
      </c>
    </row>
    <row r="54" spans="2:6">
      <c r="B54" s="6">
        <v>1383</v>
      </c>
      <c r="C54" s="14">
        <v>663.45</v>
      </c>
      <c r="D54" s="5">
        <f t="shared" si="1"/>
        <v>7.9614000000000011</v>
      </c>
      <c r="E54" s="5" t="str">
        <f t="shared" si="2"/>
        <v>NÃO</v>
      </c>
      <c r="F54" s="20" t="str">
        <f t="shared" si="3"/>
        <v xml:space="preserve"> </v>
      </c>
    </row>
    <row r="55" spans="2:6">
      <c r="B55" s="6">
        <v>1384</v>
      </c>
      <c r="C55" s="14">
        <v>1543.09</v>
      </c>
      <c r="D55" s="5">
        <f t="shared" si="1"/>
        <v>18.51708</v>
      </c>
      <c r="E55" s="5" t="str">
        <f t="shared" si="2"/>
        <v>SIM</v>
      </c>
      <c r="F55" s="20">
        <f t="shared" si="3"/>
        <v>18.51708</v>
      </c>
    </row>
    <row r="56" spans="2:6">
      <c r="B56" s="6">
        <v>1385</v>
      </c>
      <c r="C56" s="14">
        <v>547.5</v>
      </c>
      <c r="D56" s="5">
        <f t="shared" si="1"/>
        <v>6.57</v>
      </c>
      <c r="E56" s="5" t="str">
        <f t="shared" si="2"/>
        <v>NÃO</v>
      </c>
      <c r="F56" s="20" t="str">
        <f t="shared" si="3"/>
        <v xml:space="preserve"> </v>
      </c>
    </row>
    <row r="57" spans="2:6">
      <c r="B57" s="6">
        <v>1386</v>
      </c>
      <c r="C57" s="14">
        <v>608.97</v>
      </c>
      <c r="D57" s="5">
        <f t="shared" si="1"/>
        <v>7.3076400000000001</v>
      </c>
      <c r="E57" s="5" t="str">
        <f t="shared" si="2"/>
        <v>NÃO</v>
      </c>
      <c r="F57" s="20" t="str">
        <f t="shared" si="3"/>
        <v xml:space="preserve"> </v>
      </c>
    </row>
    <row r="58" spans="2:6">
      <c r="B58" s="6">
        <v>1387</v>
      </c>
      <c r="C58" s="14">
        <v>438.67</v>
      </c>
      <c r="D58" s="5">
        <f t="shared" si="1"/>
        <v>5.2640400000000005</v>
      </c>
      <c r="E58" s="5" t="str">
        <f t="shared" si="2"/>
        <v>NÃO</v>
      </c>
      <c r="F58" s="20" t="str">
        <f t="shared" si="3"/>
        <v xml:space="preserve"> </v>
      </c>
    </row>
    <row r="59" spans="2:6" ht="18.75" customHeight="1">
      <c r="B59" s="6">
        <v>1388</v>
      </c>
      <c r="C59" s="14">
        <v>647.94000000000005</v>
      </c>
      <c r="D59" s="5">
        <f t="shared" si="1"/>
        <v>7.7752800000000004</v>
      </c>
      <c r="E59" s="5" t="str">
        <f t="shared" si="2"/>
        <v>NÃO</v>
      </c>
      <c r="F59" s="20" t="str">
        <f t="shared" si="3"/>
        <v xml:space="preserve"> </v>
      </c>
    </row>
    <row r="60" spans="2:6">
      <c r="B60" s="24">
        <v>1389</v>
      </c>
      <c r="C60" s="25">
        <v>426.74</v>
      </c>
      <c r="D60" s="26">
        <f t="shared" si="1"/>
        <v>5.1208800000000005</v>
      </c>
      <c r="E60" s="26" t="str">
        <f t="shared" si="2"/>
        <v>NÃO</v>
      </c>
      <c r="F60" s="27" t="str">
        <f t="shared" si="3"/>
        <v xml:space="preserve"> </v>
      </c>
    </row>
    <row r="61" spans="2:6">
      <c r="B61" s="24">
        <v>1390</v>
      </c>
      <c r="C61" s="25">
        <v>531.78</v>
      </c>
      <c r="D61" s="26">
        <f t="shared" si="1"/>
        <v>6.3813599999999999</v>
      </c>
      <c r="E61" s="26" t="str">
        <f t="shared" si="2"/>
        <v>NÃO</v>
      </c>
      <c r="F61" s="27" t="str">
        <f t="shared" si="3"/>
        <v xml:space="preserve"> </v>
      </c>
    </row>
    <row r="62" spans="2:6">
      <c r="B62" s="24">
        <v>1391</v>
      </c>
      <c r="C62" s="25">
        <v>74.08</v>
      </c>
      <c r="D62" s="26">
        <f t="shared" si="1"/>
        <v>0.88895999999999997</v>
      </c>
      <c r="E62" s="26" t="str">
        <f t="shared" si="2"/>
        <v>NÃO</v>
      </c>
      <c r="F62" s="27" t="str">
        <f t="shared" si="3"/>
        <v xml:space="preserve"> </v>
      </c>
    </row>
    <row r="63" spans="2:6">
      <c r="B63" s="24">
        <v>1392</v>
      </c>
      <c r="C63" s="25">
        <v>1272.68</v>
      </c>
      <c r="D63" s="26">
        <f t="shared" si="1"/>
        <v>15.272160000000001</v>
      </c>
      <c r="E63" s="26" t="str">
        <f t="shared" si="2"/>
        <v>SIM</v>
      </c>
      <c r="F63" s="27">
        <f t="shared" si="3"/>
        <v>15.272160000000001</v>
      </c>
    </row>
    <row r="64" spans="2:6" ht="15.75" thickBot="1">
      <c r="B64" s="7">
        <v>1393</v>
      </c>
      <c r="C64" s="15">
        <v>153.36000000000001</v>
      </c>
      <c r="D64" s="8">
        <f t="shared" si="1"/>
        <v>1.8403200000000002</v>
      </c>
      <c r="E64" s="17" t="str">
        <f t="shared" si="2"/>
        <v>NÃO</v>
      </c>
      <c r="F64" s="21" t="str">
        <f t="shared" si="3"/>
        <v xml:space="preserve"> </v>
      </c>
    </row>
    <row r="65" spans="2:6" ht="15.75" thickBot="1">
      <c r="B65" s="9" t="s">
        <v>4</v>
      </c>
      <c r="C65" s="16">
        <f>SUM(C5:C64)</f>
        <v>27706.09</v>
      </c>
      <c r="D65" s="10">
        <f>SUM(D5:D64)</f>
        <v>332.47308000000004</v>
      </c>
      <c r="E65" s="9"/>
      <c r="F65" s="22">
        <f>SUM(F5:F64)</f>
        <v>110.50751999999999</v>
      </c>
    </row>
    <row r="66" spans="2:6">
      <c r="B66"/>
    </row>
    <row r="68" spans="2:6">
      <c r="B68"/>
    </row>
    <row r="69" spans="2:6">
      <c r="B69"/>
    </row>
    <row r="70" spans="2:6">
      <c r="B70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>
      <c r="B79"/>
    </row>
    <row r="80" spans="2:6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</sheetData>
  <sortState ref="B3:E10">
    <sortCondition ref="C3:C10"/>
  </sortState>
  <mergeCells count="1">
    <mergeCell ref="B1:F1"/>
  </mergeCells>
  <conditionalFormatting sqref="E3:E66 E68:E1048576">
    <cfRule type="cellIs" dxfId="10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87"/>
  <sheetViews>
    <sheetView workbookViewId="0">
      <pane ySplit="2" topLeftCell="A42" activePane="bottomLeft" state="frozen"/>
      <selection pane="bottomLeft" activeCell="I59" sqref="I59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8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29">
        <f t="shared" ref="F2" si="0">F66</f>
        <v>460.46243999999996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41018</v>
      </c>
      <c r="C5" s="13">
        <v>3140.29</v>
      </c>
      <c r="D5" s="5">
        <f>C5*1.2%</f>
        <v>37.683480000000003</v>
      </c>
      <c r="E5" s="5" t="str">
        <f>IF(D5&lt;=10,"NÃO","SIM")</f>
        <v>SIM</v>
      </c>
      <c r="F5" s="19">
        <f>IF((D5)&lt;10," ",D5)</f>
        <v>37.683480000000003</v>
      </c>
    </row>
    <row r="6" spans="2:6">
      <c r="B6" s="6">
        <v>41019</v>
      </c>
      <c r="C6" s="14">
        <v>367.2</v>
      </c>
      <c r="D6" s="5">
        <f t="shared" ref="D6:D65" si="1">C6*1.2%</f>
        <v>4.4063999999999997</v>
      </c>
      <c r="E6" s="5" t="str">
        <f t="shared" ref="E6:E65" si="2">IF(D6&lt;=10,"NÃO","SIM")</f>
        <v>NÃO</v>
      </c>
      <c r="F6" s="20" t="str">
        <f t="shared" ref="F6:F65" si="3">IF((D6)&lt;10," ",D6)</f>
        <v xml:space="preserve"> </v>
      </c>
    </row>
    <row r="7" spans="2:6">
      <c r="B7" s="6">
        <v>41020</v>
      </c>
      <c r="C7" s="14">
        <v>502.59</v>
      </c>
      <c r="D7" s="5">
        <f t="shared" si="1"/>
        <v>6.0310800000000002</v>
      </c>
      <c r="E7" s="5" t="str">
        <f t="shared" si="2"/>
        <v>NÃO</v>
      </c>
      <c r="F7" s="20" t="str">
        <f t="shared" si="3"/>
        <v xml:space="preserve"> </v>
      </c>
    </row>
    <row r="8" spans="2:6">
      <c r="B8" s="6">
        <v>41021</v>
      </c>
      <c r="C8" s="14">
        <v>400.91</v>
      </c>
      <c r="D8" s="5">
        <f t="shared" si="1"/>
        <v>4.8109200000000003</v>
      </c>
      <c r="E8" s="5" t="str">
        <f t="shared" si="2"/>
        <v>NÃO</v>
      </c>
      <c r="F8" s="20" t="str">
        <f t="shared" si="3"/>
        <v xml:space="preserve"> </v>
      </c>
    </row>
    <row r="9" spans="2:6">
      <c r="B9" s="6">
        <v>41022</v>
      </c>
      <c r="C9" s="14">
        <v>1327.9</v>
      </c>
      <c r="D9" s="5">
        <f t="shared" si="1"/>
        <v>15.934800000000001</v>
      </c>
      <c r="E9" s="5" t="str">
        <f t="shared" si="2"/>
        <v>SIM</v>
      </c>
      <c r="F9" s="20">
        <f t="shared" si="3"/>
        <v>15.934800000000001</v>
      </c>
    </row>
    <row r="10" spans="2:6">
      <c r="B10" s="6">
        <v>41023</v>
      </c>
      <c r="C10" s="14">
        <v>796.28</v>
      </c>
      <c r="D10" s="5">
        <f t="shared" si="1"/>
        <v>9.5553600000000003</v>
      </c>
      <c r="E10" s="5" t="str">
        <f t="shared" si="2"/>
        <v>NÃO</v>
      </c>
      <c r="F10" s="20" t="str">
        <f t="shared" si="3"/>
        <v xml:space="preserve"> </v>
      </c>
    </row>
    <row r="11" spans="2:6">
      <c r="B11" s="6">
        <v>41024</v>
      </c>
      <c r="C11" s="14">
        <v>1658.22</v>
      </c>
      <c r="D11" s="5">
        <f t="shared" si="1"/>
        <v>19.89864</v>
      </c>
      <c r="E11" s="5" t="str">
        <f t="shared" si="2"/>
        <v>SIM</v>
      </c>
      <c r="F11" s="20">
        <f t="shared" si="3"/>
        <v>19.89864</v>
      </c>
    </row>
    <row r="12" spans="2:6">
      <c r="B12" s="6">
        <v>41025</v>
      </c>
      <c r="C12" s="14">
        <v>1528.13</v>
      </c>
      <c r="D12" s="5">
        <f t="shared" si="1"/>
        <v>18.337560000000003</v>
      </c>
      <c r="E12" s="5" t="str">
        <f t="shared" si="2"/>
        <v>SIM</v>
      </c>
      <c r="F12" s="20">
        <f t="shared" si="3"/>
        <v>18.337560000000003</v>
      </c>
    </row>
    <row r="13" spans="2:6">
      <c r="B13" s="6">
        <v>41026</v>
      </c>
      <c r="C13" s="14">
        <v>1327.6</v>
      </c>
      <c r="D13" s="5">
        <f t="shared" si="1"/>
        <v>15.931199999999999</v>
      </c>
      <c r="E13" s="5" t="str">
        <f t="shared" si="2"/>
        <v>SIM</v>
      </c>
      <c r="F13" s="20">
        <f t="shared" si="3"/>
        <v>15.931199999999999</v>
      </c>
    </row>
    <row r="14" spans="2:6">
      <c r="B14" s="6">
        <v>41027</v>
      </c>
      <c r="C14" s="14">
        <v>350.17</v>
      </c>
      <c r="D14" s="5">
        <f t="shared" si="1"/>
        <v>4.2020400000000002</v>
      </c>
      <c r="E14" s="5" t="str">
        <f t="shared" si="2"/>
        <v>NÃO</v>
      </c>
      <c r="F14" s="20" t="str">
        <f t="shared" si="3"/>
        <v xml:space="preserve"> </v>
      </c>
    </row>
    <row r="15" spans="2:6">
      <c r="B15" s="6">
        <v>41028</v>
      </c>
      <c r="C15" s="14">
        <v>606.55999999999995</v>
      </c>
      <c r="D15" s="5">
        <f t="shared" si="1"/>
        <v>7.2787199999999999</v>
      </c>
      <c r="E15" s="5" t="str">
        <f t="shared" si="2"/>
        <v>NÃO</v>
      </c>
      <c r="F15" s="20" t="str">
        <f t="shared" si="3"/>
        <v xml:space="preserve"> </v>
      </c>
    </row>
    <row r="16" spans="2:6">
      <c r="B16" s="6">
        <v>41029</v>
      </c>
      <c r="C16" s="14">
        <v>2401.73</v>
      </c>
      <c r="D16" s="5">
        <f t="shared" si="1"/>
        <v>28.82076</v>
      </c>
      <c r="E16" s="5" t="str">
        <f t="shared" si="2"/>
        <v>SIM</v>
      </c>
      <c r="F16" s="20">
        <f t="shared" si="3"/>
        <v>28.82076</v>
      </c>
    </row>
    <row r="17" spans="2:6">
      <c r="B17" s="6">
        <v>41030</v>
      </c>
      <c r="C17" s="14">
        <v>1423.62</v>
      </c>
      <c r="D17" s="5">
        <f t="shared" si="1"/>
        <v>17.08344</v>
      </c>
      <c r="E17" s="5" t="str">
        <f t="shared" si="2"/>
        <v>SIM</v>
      </c>
      <c r="F17" s="20">
        <f t="shared" si="3"/>
        <v>17.08344</v>
      </c>
    </row>
    <row r="18" spans="2:6">
      <c r="B18" s="6">
        <v>41031</v>
      </c>
      <c r="C18" s="14">
        <v>1218.3599999999999</v>
      </c>
      <c r="D18" s="5">
        <f t="shared" si="1"/>
        <v>14.62032</v>
      </c>
      <c r="E18" s="5" t="str">
        <f t="shared" si="2"/>
        <v>SIM</v>
      </c>
      <c r="F18" s="20">
        <f t="shared" si="3"/>
        <v>14.62032</v>
      </c>
    </row>
    <row r="19" spans="2:6">
      <c r="B19" s="6">
        <v>41032</v>
      </c>
      <c r="C19" s="14">
        <v>940.98</v>
      </c>
      <c r="D19" s="5">
        <f t="shared" si="1"/>
        <v>11.29176</v>
      </c>
      <c r="E19" s="5" t="str">
        <f t="shared" si="2"/>
        <v>SIM</v>
      </c>
      <c r="F19" s="20">
        <f t="shared" si="3"/>
        <v>11.29176</v>
      </c>
    </row>
    <row r="20" spans="2:6">
      <c r="B20" s="6">
        <v>41033</v>
      </c>
      <c r="C20" s="14">
        <v>566.86</v>
      </c>
      <c r="D20" s="5">
        <f t="shared" si="1"/>
        <v>6.8023199999999999</v>
      </c>
      <c r="E20" s="5" t="str">
        <f t="shared" si="2"/>
        <v>NÃO</v>
      </c>
      <c r="F20" s="20" t="str">
        <f t="shared" si="3"/>
        <v xml:space="preserve"> </v>
      </c>
    </row>
    <row r="21" spans="2:6">
      <c r="B21" s="6">
        <v>41034</v>
      </c>
      <c r="C21" s="14">
        <v>388.83</v>
      </c>
      <c r="D21" s="5">
        <f t="shared" si="1"/>
        <v>4.6659600000000001</v>
      </c>
      <c r="E21" s="5" t="str">
        <f t="shared" si="2"/>
        <v>NÃO</v>
      </c>
      <c r="F21" s="20" t="str">
        <f t="shared" si="3"/>
        <v xml:space="preserve"> </v>
      </c>
    </row>
    <row r="22" spans="2:6">
      <c r="B22" s="6">
        <v>41035</v>
      </c>
      <c r="C22" s="14">
        <v>552.66</v>
      </c>
      <c r="D22" s="5">
        <f t="shared" si="1"/>
        <v>6.63192</v>
      </c>
      <c r="E22" s="5" t="str">
        <f t="shared" si="2"/>
        <v>NÃO</v>
      </c>
      <c r="F22" s="20" t="str">
        <f t="shared" si="3"/>
        <v xml:space="preserve"> </v>
      </c>
    </row>
    <row r="23" spans="2:6">
      <c r="B23" s="6">
        <v>41036</v>
      </c>
      <c r="C23" s="14">
        <v>1352.39</v>
      </c>
      <c r="D23" s="5">
        <f t="shared" si="1"/>
        <v>16.228680000000001</v>
      </c>
      <c r="E23" s="5" t="str">
        <f t="shared" si="2"/>
        <v>SIM</v>
      </c>
      <c r="F23" s="20">
        <f t="shared" si="3"/>
        <v>16.228680000000001</v>
      </c>
    </row>
    <row r="24" spans="2:6">
      <c r="B24" s="6">
        <v>41037</v>
      </c>
      <c r="C24" s="14">
        <v>299.82</v>
      </c>
      <c r="D24" s="5">
        <f t="shared" si="1"/>
        <v>3.5978400000000001</v>
      </c>
      <c r="E24" s="5" t="str">
        <f t="shared" si="2"/>
        <v>NÃO</v>
      </c>
      <c r="F24" s="20" t="str">
        <f t="shared" si="3"/>
        <v xml:space="preserve"> </v>
      </c>
    </row>
    <row r="25" spans="2:6">
      <c r="B25" s="6">
        <v>41038</v>
      </c>
      <c r="C25" s="14">
        <v>520.64</v>
      </c>
      <c r="D25" s="5">
        <f t="shared" si="1"/>
        <v>6.2476799999999999</v>
      </c>
      <c r="E25" s="5" t="str">
        <f t="shared" si="2"/>
        <v>NÃO</v>
      </c>
      <c r="F25" s="20" t="str">
        <f t="shared" si="3"/>
        <v xml:space="preserve"> </v>
      </c>
    </row>
    <row r="26" spans="2:6">
      <c r="B26" s="6">
        <v>41039</v>
      </c>
      <c r="C26" s="14">
        <v>153.44</v>
      </c>
      <c r="D26" s="5">
        <f t="shared" si="1"/>
        <v>1.84128</v>
      </c>
      <c r="E26" s="5" t="str">
        <f t="shared" si="2"/>
        <v>NÃO</v>
      </c>
      <c r="F26" s="20" t="str">
        <f t="shared" si="3"/>
        <v xml:space="preserve"> </v>
      </c>
    </row>
    <row r="27" spans="2:6">
      <c r="B27" s="6">
        <v>41040</v>
      </c>
      <c r="C27" s="14">
        <v>2205.6</v>
      </c>
      <c r="D27" s="5">
        <f t="shared" si="1"/>
        <v>26.467199999999998</v>
      </c>
      <c r="E27" s="5" t="str">
        <f t="shared" si="2"/>
        <v>SIM</v>
      </c>
      <c r="F27" s="20">
        <f t="shared" si="3"/>
        <v>26.467199999999998</v>
      </c>
    </row>
    <row r="28" spans="2:6">
      <c r="B28" s="6">
        <v>41041</v>
      </c>
      <c r="C28" s="14">
        <v>600.63</v>
      </c>
      <c r="D28" s="5">
        <f t="shared" si="1"/>
        <v>7.20756</v>
      </c>
      <c r="E28" s="5" t="str">
        <f t="shared" si="2"/>
        <v>NÃO</v>
      </c>
      <c r="F28" s="20" t="str">
        <f t="shared" si="3"/>
        <v xml:space="preserve"> </v>
      </c>
    </row>
    <row r="29" spans="2:6">
      <c r="B29" s="6">
        <v>41042</v>
      </c>
      <c r="C29" s="14">
        <v>1544.08</v>
      </c>
      <c r="D29" s="5">
        <f t="shared" si="1"/>
        <v>18.528959999999998</v>
      </c>
      <c r="E29" s="5" t="str">
        <f t="shared" si="2"/>
        <v>SIM</v>
      </c>
      <c r="F29" s="20">
        <f t="shared" si="3"/>
        <v>18.528959999999998</v>
      </c>
    </row>
    <row r="30" spans="2:6">
      <c r="B30" s="6">
        <v>41043</v>
      </c>
      <c r="C30" s="14">
        <v>2951.11</v>
      </c>
      <c r="D30" s="5">
        <f t="shared" si="1"/>
        <v>35.413319999999999</v>
      </c>
      <c r="E30" s="5" t="str">
        <f t="shared" si="2"/>
        <v>SIM</v>
      </c>
      <c r="F30" s="20">
        <f t="shared" si="3"/>
        <v>35.413319999999999</v>
      </c>
    </row>
    <row r="31" spans="2:6">
      <c r="B31" s="6">
        <v>41044</v>
      </c>
      <c r="C31" s="14">
        <v>807</v>
      </c>
      <c r="D31" s="5">
        <f t="shared" si="1"/>
        <v>9.6840000000000011</v>
      </c>
      <c r="E31" s="5" t="str">
        <f t="shared" si="2"/>
        <v>NÃO</v>
      </c>
      <c r="F31" s="20" t="str">
        <f t="shared" si="3"/>
        <v xml:space="preserve"> </v>
      </c>
    </row>
    <row r="32" spans="2:6">
      <c r="B32" s="6">
        <v>41045</v>
      </c>
      <c r="C32" s="14">
        <v>2266.5300000000002</v>
      </c>
      <c r="D32" s="5">
        <f t="shared" si="1"/>
        <v>27.198360000000005</v>
      </c>
      <c r="E32" s="5" t="str">
        <f t="shared" si="2"/>
        <v>SIM</v>
      </c>
      <c r="F32" s="20">
        <f t="shared" si="3"/>
        <v>27.198360000000005</v>
      </c>
    </row>
    <row r="33" spans="2:6">
      <c r="B33" s="6">
        <v>41046</v>
      </c>
      <c r="C33" s="14">
        <v>634.26</v>
      </c>
      <c r="D33" s="5">
        <f t="shared" si="1"/>
        <v>7.6111199999999997</v>
      </c>
      <c r="E33" s="5" t="str">
        <f t="shared" si="2"/>
        <v>NÃO</v>
      </c>
      <c r="F33" s="20" t="str">
        <f t="shared" si="3"/>
        <v xml:space="preserve"> </v>
      </c>
    </row>
    <row r="34" spans="2:6">
      <c r="B34" s="6">
        <v>41047</v>
      </c>
      <c r="C34" s="14">
        <v>1344.51</v>
      </c>
      <c r="D34" s="5">
        <f t="shared" si="1"/>
        <v>16.134119999999999</v>
      </c>
      <c r="E34" s="5" t="str">
        <f t="shared" si="2"/>
        <v>SIM</v>
      </c>
      <c r="F34" s="20">
        <f t="shared" si="3"/>
        <v>16.134119999999999</v>
      </c>
    </row>
    <row r="35" spans="2:6">
      <c r="B35" s="6">
        <v>41048</v>
      </c>
      <c r="C35" s="14">
        <v>1162.3599999999999</v>
      </c>
      <c r="D35" s="5">
        <f t="shared" si="1"/>
        <v>13.948319999999999</v>
      </c>
      <c r="E35" s="5" t="str">
        <f t="shared" si="2"/>
        <v>SIM</v>
      </c>
      <c r="F35" s="20">
        <f t="shared" si="3"/>
        <v>13.948319999999999</v>
      </c>
    </row>
    <row r="36" spans="2:6">
      <c r="B36" s="6">
        <v>41049</v>
      </c>
      <c r="C36" s="14">
        <v>1110.6500000000001</v>
      </c>
      <c r="D36" s="5">
        <f t="shared" si="1"/>
        <v>13.327800000000002</v>
      </c>
      <c r="E36" s="5" t="str">
        <f t="shared" si="2"/>
        <v>SIM</v>
      </c>
      <c r="F36" s="20">
        <f t="shared" si="3"/>
        <v>13.327800000000002</v>
      </c>
    </row>
    <row r="37" spans="2:6">
      <c r="B37" s="6">
        <v>41050</v>
      </c>
      <c r="C37" s="14">
        <v>325.56</v>
      </c>
      <c r="D37" s="5">
        <f t="shared" si="1"/>
        <v>3.90672</v>
      </c>
      <c r="E37" s="5" t="str">
        <f t="shared" si="2"/>
        <v>NÃO</v>
      </c>
      <c r="F37" s="20" t="str">
        <f t="shared" si="3"/>
        <v xml:space="preserve"> </v>
      </c>
    </row>
    <row r="38" spans="2:6">
      <c r="B38" s="6">
        <v>41051</v>
      </c>
      <c r="C38" s="14">
        <v>2293.9</v>
      </c>
      <c r="D38" s="5">
        <f t="shared" si="1"/>
        <v>27.526800000000001</v>
      </c>
      <c r="E38" s="5" t="str">
        <f t="shared" si="2"/>
        <v>SIM</v>
      </c>
      <c r="F38" s="20">
        <f t="shared" si="3"/>
        <v>27.526800000000001</v>
      </c>
    </row>
    <row r="39" spans="2:6">
      <c r="B39" s="6">
        <v>41052</v>
      </c>
      <c r="C39" s="14">
        <v>233.29</v>
      </c>
      <c r="D39" s="5">
        <f t="shared" si="1"/>
        <v>2.79948</v>
      </c>
      <c r="E39" s="5" t="str">
        <f t="shared" si="2"/>
        <v>NÃO</v>
      </c>
      <c r="F39" s="20" t="str">
        <f t="shared" si="3"/>
        <v xml:space="preserve"> </v>
      </c>
    </row>
    <row r="40" spans="2:6">
      <c r="B40" s="6">
        <v>41053</v>
      </c>
      <c r="C40" s="14">
        <v>305</v>
      </c>
      <c r="D40" s="5">
        <f t="shared" si="1"/>
        <v>3.66</v>
      </c>
      <c r="E40" s="5" t="str">
        <f t="shared" si="2"/>
        <v>NÃO</v>
      </c>
      <c r="F40" s="20" t="str">
        <f t="shared" si="3"/>
        <v xml:space="preserve"> </v>
      </c>
    </row>
    <row r="41" spans="2:6">
      <c r="B41" s="6">
        <v>41054</v>
      </c>
      <c r="C41" s="14">
        <v>904.82</v>
      </c>
      <c r="D41" s="5">
        <f t="shared" si="1"/>
        <v>10.857840000000001</v>
      </c>
      <c r="E41" s="5" t="str">
        <f t="shared" si="2"/>
        <v>SIM</v>
      </c>
      <c r="F41" s="20">
        <f t="shared" si="3"/>
        <v>10.857840000000001</v>
      </c>
    </row>
    <row r="42" spans="2:6">
      <c r="B42" s="6">
        <v>41055</v>
      </c>
      <c r="C42" s="14">
        <v>492.74</v>
      </c>
      <c r="D42" s="5">
        <f t="shared" si="1"/>
        <v>5.9128800000000004</v>
      </c>
      <c r="E42" s="5" t="str">
        <f t="shared" si="2"/>
        <v>NÃO</v>
      </c>
      <c r="F42" s="20" t="str">
        <f t="shared" si="3"/>
        <v xml:space="preserve"> </v>
      </c>
    </row>
    <row r="43" spans="2:6">
      <c r="B43" s="6">
        <v>41056</v>
      </c>
      <c r="C43" s="14">
        <v>1360.61</v>
      </c>
      <c r="D43" s="5">
        <f t="shared" si="1"/>
        <v>16.32732</v>
      </c>
      <c r="E43" s="5" t="str">
        <f t="shared" si="2"/>
        <v>SIM</v>
      </c>
      <c r="F43" s="20">
        <f t="shared" si="3"/>
        <v>16.32732</v>
      </c>
    </row>
    <row r="44" spans="2:6">
      <c r="B44" s="6">
        <v>41057</v>
      </c>
      <c r="C44" s="14">
        <v>849.91</v>
      </c>
      <c r="D44" s="5">
        <f t="shared" si="1"/>
        <v>10.198919999999999</v>
      </c>
      <c r="E44" s="5" t="str">
        <f t="shared" si="2"/>
        <v>SIM</v>
      </c>
      <c r="F44" s="20">
        <f t="shared" si="3"/>
        <v>10.198919999999999</v>
      </c>
    </row>
    <row r="45" spans="2:6">
      <c r="B45" s="6">
        <v>41058</v>
      </c>
      <c r="C45" s="14">
        <v>612.23</v>
      </c>
      <c r="D45" s="5">
        <f t="shared" si="1"/>
        <v>7.3467600000000006</v>
      </c>
      <c r="E45" s="5" t="str">
        <f t="shared" si="2"/>
        <v>NÃO</v>
      </c>
      <c r="F45" s="20" t="str">
        <f t="shared" si="3"/>
        <v xml:space="preserve"> </v>
      </c>
    </row>
    <row r="46" spans="2:6">
      <c r="B46" s="6">
        <v>41059</v>
      </c>
      <c r="C46" s="14">
        <v>833.97</v>
      </c>
      <c r="D46" s="5">
        <f t="shared" si="1"/>
        <v>10.00764</v>
      </c>
      <c r="E46" s="5" t="str">
        <f t="shared" si="2"/>
        <v>SIM</v>
      </c>
      <c r="F46" s="20">
        <f t="shared" si="3"/>
        <v>10.00764</v>
      </c>
    </row>
    <row r="47" spans="2:6">
      <c r="B47" s="6">
        <v>41060</v>
      </c>
      <c r="C47" s="14">
        <v>995.78</v>
      </c>
      <c r="D47" s="5">
        <f t="shared" si="1"/>
        <v>11.94936</v>
      </c>
      <c r="E47" s="5" t="str">
        <f t="shared" si="2"/>
        <v>SIM</v>
      </c>
      <c r="F47" s="20">
        <f t="shared" si="3"/>
        <v>11.94936</v>
      </c>
    </row>
    <row r="48" spans="2:6">
      <c r="B48" s="6">
        <v>41061</v>
      </c>
      <c r="C48" s="14">
        <v>1281.2</v>
      </c>
      <c r="D48" s="5">
        <f t="shared" si="1"/>
        <v>15.374400000000001</v>
      </c>
      <c r="E48" s="5" t="str">
        <f t="shared" si="2"/>
        <v>SIM</v>
      </c>
      <c r="F48" s="20">
        <f t="shared" si="3"/>
        <v>15.374400000000001</v>
      </c>
    </row>
    <row r="49" spans="2:6">
      <c r="B49" s="6">
        <v>41062</v>
      </c>
      <c r="C49" s="14">
        <v>947.62</v>
      </c>
      <c r="D49" s="5">
        <f t="shared" si="1"/>
        <v>11.37144</v>
      </c>
      <c r="E49" s="5" t="str">
        <f t="shared" si="2"/>
        <v>SIM</v>
      </c>
      <c r="F49" s="20">
        <f t="shared" si="3"/>
        <v>11.37144</v>
      </c>
    </row>
    <row r="50" spans="2:6">
      <c r="B50" s="6">
        <v>41063</v>
      </c>
      <c r="C50" s="14">
        <v>410.02</v>
      </c>
      <c r="D50" s="5">
        <f t="shared" si="1"/>
        <v>4.9202399999999997</v>
      </c>
      <c r="E50" s="5" t="str">
        <f t="shared" si="2"/>
        <v>NÃO</v>
      </c>
      <c r="F50" s="20" t="str">
        <f t="shared" si="3"/>
        <v xml:space="preserve"> </v>
      </c>
    </row>
    <row r="51" spans="2:6">
      <c r="B51" s="6">
        <v>41064</v>
      </c>
      <c r="C51" s="14">
        <v>682.43</v>
      </c>
      <c r="D51" s="30">
        <f t="shared" si="1"/>
        <v>8.1891599999999993</v>
      </c>
      <c r="E51" s="30" t="str">
        <f t="shared" si="2"/>
        <v>NÃO</v>
      </c>
      <c r="F51" s="20" t="str">
        <f t="shared" si="3"/>
        <v xml:space="preserve"> </v>
      </c>
    </row>
    <row r="52" spans="2:6">
      <c r="B52" s="6">
        <v>41065</v>
      </c>
      <c r="C52" s="14">
        <v>455.78</v>
      </c>
      <c r="D52" s="5">
        <f t="shared" si="1"/>
        <v>5.46936</v>
      </c>
      <c r="E52" s="5" t="str">
        <f t="shared" si="2"/>
        <v>NÃO</v>
      </c>
      <c r="F52" s="20" t="str">
        <f t="shared" si="3"/>
        <v xml:space="preserve"> </v>
      </c>
    </row>
    <row r="53" spans="2:6">
      <c r="B53" s="6">
        <v>41066</v>
      </c>
      <c r="C53" s="14">
        <v>416.61</v>
      </c>
      <c r="D53" s="5">
        <f t="shared" si="1"/>
        <v>4.99932</v>
      </c>
      <c r="E53" s="5" t="str">
        <f t="shared" si="2"/>
        <v>NÃO</v>
      </c>
      <c r="F53" s="20" t="str">
        <f t="shared" si="3"/>
        <v xml:space="preserve"> </v>
      </c>
    </row>
    <row r="54" spans="2:6">
      <c r="B54" s="6">
        <v>41067</v>
      </c>
      <c r="C54" s="14">
        <v>485.9</v>
      </c>
      <c r="D54" s="5">
        <f t="shared" si="1"/>
        <v>5.8308</v>
      </c>
      <c r="E54" s="5" t="str">
        <f t="shared" si="2"/>
        <v>NÃO</v>
      </c>
      <c r="F54" s="20" t="str">
        <f t="shared" si="3"/>
        <v xml:space="preserve"> </v>
      </c>
    </row>
    <row r="55" spans="2:6">
      <c r="B55" s="6">
        <v>41068</v>
      </c>
      <c r="C55" s="14">
        <v>618.58000000000004</v>
      </c>
      <c r="D55" s="5">
        <f t="shared" si="1"/>
        <v>7.4229600000000007</v>
      </c>
      <c r="E55" s="5" t="str">
        <f t="shared" si="2"/>
        <v>NÃO</v>
      </c>
      <c r="F55" s="20" t="str">
        <f t="shared" si="3"/>
        <v xml:space="preserve"> </v>
      </c>
    </row>
    <row r="56" spans="2:6">
      <c r="B56" s="6">
        <v>41069</v>
      </c>
      <c r="C56" s="14">
        <v>442.16</v>
      </c>
      <c r="D56" s="5">
        <f t="shared" si="1"/>
        <v>5.3059200000000004</v>
      </c>
      <c r="E56" s="5" t="str">
        <f t="shared" si="2"/>
        <v>NÃO</v>
      </c>
      <c r="F56" s="20" t="str">
        <f t="shared" si="3"/>
        <v xml:space="preserve"> </v>
      </c>
    </row>
    <row r="57" spans="2:6">
      <c r="B57" s="6">
        <v>41070</v>
      </c>
      <c r="C57" s="14">
        <v>490.1</v>
      </c>
      <c r="D57" s="5">
        <f t="shared" si="1"/>
        <v>5.8812000000000006</v>
      </c>
      <c r="E57" s="5" t="str">
        <f t="shared" si="2"/>
        <v>NÃO</v>
      </c>
      <c r="F57" s="20" t="str">
        <f t="shared" si="3"/>
        <v xml:space="preserve"> </v>
      </c>
    </row>
    <row r="58" spans="2:6">
      <c r="B58" s="6">
        <v>41071</v>
      </c>
      <c r="C58" s="14">
        <v>503.61</v>
      </c>
      <c r="D58" s="5">
        <f t="shared" si="1"/>
        <v>6.0433200000000005</v>
      </c>
      <c r="E58" s="5" t="str">
        <f t="shared" si="2"/>
        <v>NÃO</v>
      </c>
      <c r="F58" s="20" t="str">
        <f t="shared" si="3"/>
        <v xml:space="preserve"> </v>
      </c>
    </row>
    <row r="59" spans="2:6" ht="18.75" customHeight="1">
      <c r="B59" s="6">
        <v>41072</v>
      </c>
      <c r="C59" s="33">
        <v>620.41</v>
      </c>
      <c r="D59" s="34">
        <f t="shared" si="1"/>
        <v>7.4449199999999998</v>
      </c>
      <c r="E59" s="34" t="str">
        <f t="shared" si="2"/>
        <v>NÃO</v>
      </c>
      <c r="F59" s="20" t="str">
        <f t="shared" si="3"/>
        <v xml:space="preserve"> </v>
      </c>
    </row>
    <row r="60" spans="2:6">
      <c r="B60" s="24">
        <v>41073</v>
      </c>
      <c r="C60" s="14">
        <v>506.43</v>
      </c>
      <c r="D60" s="30">
        <f t="shared" si="1"/>
        <v>6.0771600000000001</v>
      </c>
      <c r="E60" s="30" t="str">
        <f t="shared" si="2"/>
        <v>NÃO</v>
      </c>
      <c r="F60" s="27" t="str">
        <f t="shared" si="3"/>
        <v xml:space="preserve"> </v>
      </c>
    </row>
    <row r="61" spans="2:6">
      <c r="B61" s="24">
        <v>41074</v>
      </c>
      <c r="C61" s="33">
        <v>660.37</v>
      </c>
      <c r="D61" s="30">
        <f t="shared" si="1"/>
        <v>7.9244400000000006</v>
      </c>
      <c r="E61" s="30" t="str">
        <f t="shared" si="2"/>
        <v>NÃO</v>
      </c>
      <c r="F61" s="27" t="str">
        <f t="shared" si="3"/>
        <v xml:space="preserve"> </v>
      </c>
    </row>
    <row r="62" spans="2:6">
      <c r="B62" s="24">
        <v>41075</v>
      </c>
      <c r="C62" s="33">
        <v>550.48</v>
      </c>
      <c r="D62" s="30">
        <f t="shared" si="1"/>
        <v>6.6057600000000001</v>
      </c>
      <c r="E62" s="30" t="str">
        <f t="shared" si="2"/>
        <v>NÃO</v>
      </c>
      <c r="F62" s="27" t="str">
        <f t="shared" si="3"/>
        <v xml:space="preserve"> </v>
      </c>
    </row>
    <row r="63" spans="2:6">
      <c r="B63" s="24">
        <v>41076</v>
      </c>
      <c r="C63" s="33">
        <v>496.05</v>
      </c>
      <c r="D63" s="30">
        <f t="shared" si="1"/>
        <v>5.9526000000000003</v>
      </c>
      <c r="E63" s="30" t="str">
        <f t="shared" si="2"/>
        <v>NÃO</v>
      </c>
      <c r="F63" s="27" t="str">
        <f t="shared" si="3"/>
        <v xml:space="preserve"> </v>
      </c>
    </row>
    <row r="64" spans="2:6">
      <c r="B64" s="24">
        <v>41077</v>
      </c>
      <c r="C64" s="33">
        <v>634.64</v>
      </c>
      <c r="D64" s="17">
        <f t="shared" si="1"/>
        <v>7.6156800000000002</v>
      </c>
      <c r="E64" s="17" t="str">
        <f t="shared" si="2"/>
        <v>NÃO</v>
      </c>
      <c r="F64" s="27" t="str">
        <f t="shared" si="3"/>
        <v xml:space="preserve"> </v>
      </c>
    </row>
    <row r="65" spans="2:6" ht="15.75" thickBot="1">
      <c r="B65" s="24">
        <v>41078</v>
      </c>
      <c r="C65" s="15">
        <v>642.55999999999995</v>
      </c>
      <c r="D65" s="8">
        <f t="shared" si="1"/>
        <v>7.7107199999999994</v>
      </c>
      <c r="E65" s="8" t="str">
        <f t="shared" si="2"/>
        <v>NÃO</v>
      </c>
      <c r="F65" s="27" t="str">
        <f t="shared" si="3"/>
        <v xml:space="preserve"> </v>
      </c>
    </row>
    <row r="66" spans="2:6" ht="15.75" thickBot="1">
      <c r="B66" s="9" t="s">
        <v>4</v>
      </c>
      <c r="C66" s="16">
        <f>SUM(C5:C65)</f>
        <v>56504.67000000002</v>
      </c>
      <c r="D66" s="10">
        <f>SUM(D5:D65)</f>
        <v>678.05604000000028</v>
      </c>
      <c r="E66" s="9"/>
      <c r="F66" s="22">
        <f>SUM(F5:F65)</f>
        <v>460.46243999999996</v>
      </c>
    </row>
    <row r="67" spans="2:6">
      <c r="B67"/>
    </row>
    <row r="69" spans="2:6">
      <c r="B69"/>
    </row>
    <row r="70" spans="2:6">
      <c r="B70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>
      <c r="B79"/>
    </row>
    <row r="80" spans="2:6">
      <c r="B80"/>
    </row>
    <row r="81" spans="2:6">
      <c r="B81"/>
    </row>
    <row r="82" spans="2:6" s="11" customFormat="1">
      <c r="B82"/>
      <c r="D82"/>
      <c r="E82"/>
      <c r="F82" s="18"/>
    </row>
    <row r="83" spans="2:6" s="11" customFormat="1">
      <c r="B83"/>
      <c r="D83"/>
      <c r="E83"/>
      <c r="F83" s="18"/>
    </row>
    <row r="84" spans="2:6" s="11" customFormat="1">
      <c r="B84"/>
      <c r="D84"/>
      <c r="E84"/>
      <c r="F84" s="18"/>
    </row>
    <row r="85" spans="2:6" s="11" customFormat="1">
      <c r="B85"/>
      <c r="D85"/>
      <c r="E85"/>
      <c r="F85" s="18"/>
    </row>
    <row r="86" spans="2:6" s="11" customFormat="1">
      <c r="B86"/>
      <c r="D86"/>
      <c r="E86"/>
      <c r="F86" s="18"/>
    </row>
    <row r="87" spans="2:6" s="11" customFormat="1">
      <c r="B87"/>
      <c r="D87"/>
      <c r="E87"/>
      <c r="F87" s="18"/>
    </row>
  </sheetData>
  <mergeCells count="1">
    <mergeCell ref="B1:F1"/>
  </mergeCells>
  <conditionalFormatting sqref="E69:E1048576 E3:E67">
    <cfRule type="cellIs" dxfId="9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F89"/>
  <sheetViews>
    <sheetView workbookViewId="0">
      <pane ySplit="2" topLeftCell="A21" activePane="bottomLeft" state="frozen"/>
      <selection pane="bottomLeft" sqref="A1:XFD1048576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9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29">
        <f t="shared" ref="F2" si="0">F68</f>
        <v>872.32596000000012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41143</v>
      </c>
      <c r="C5" s="13">
        <v>4322.8500000000004</v>
      </c>
      <c r="D5" s="5">
        <f>C5*1.2%</f>
        <v>51.874200000000009</v>
      </c>
      <c r="E5" s="5" t="str">
        <f>IF(D5&lt;=10,"NÃO","SIM")</f>
        <v>SIM</v>
      </c>
      <c r="F5" s="19">
        <f>IF((D5)&lt;10," ",D5)</f>
        <v>51.874200000000009</v>
      </c>
    </row>
    <row r="6" spans="2:6">
      <c r="B6" s="6">
        <v>41144</v>
      </c>
      <c r="C6" s="14">
        <v>689.65</v>
      </c>
      <c r="D6" s="5">
        <f t="shared" ref="D6:D67" si="1">C6*1.2%</f>
        <v>8.2758000000000003</v>
      </c>
      <c r="E6" s="5" t="str">
        <f t="shared" ref="E6:E67" si="2">IF(D6&lt;=10,"NÃO","SIM")</f>
        <v>NÃO</v>
      </c>
      <c r="F6" s="20" t="str">
        <f t="shared" ref="F6:F67" si="3">IF((D6)&lt;10," ",D6)</f>
        <v xml:space="preserve"> </v>
      </c>
    </row>
    <row r="7" spans="2:6">
      <c r="B7" s="6">
        <v>41145</v>
      </c>
      <c r="C7" s="14">
        <v>871.58</v>
      </c>
      <c r="D7" s="5">
        <f t="shared" si="1"/>
        <v>10.458960000000001</v>
      </c>
      <c r="E7" s="5" t="str">
        <f t="shared" si="2"/>
        <v>SIM</v>
      </c>
      <c r="F7" s="20">
        <f t="shared" si="3"/>
        <v>10.458960000000001</v>
      </c>
    </row>
    <row r="8" spans="2:6">
      <c r="B8" s="6">
        <v>41146</v>
      </c>
      <c r="C8" s="14">
        <v>559.70000000000005</v>
      </c>
      <c r="D8" s="5">
        <f t="shared" si="1"/>
        <v>6.716400000000001</v>
      </c>
      <c r="E8" s="5" t="str">
        <f t="shared" si="2"/>
        <v>NÃO</v>
      </c>
      <c r="F8" s="20" t="str">
        <f t="shared" si="3"/>
        <v xml:space="preserve"> </v>
      </c>
    </row>
    <row r="9" spans="2:6">
      <c r="B9" s="6">
        <v>41147</v>
      </c>
      <c r="C9" s="14">
        <v>3618.1</v>
      </c>
      <c r="D9" s="5">
        <f t="shared" si="1"/>
        <v>43.417200000000001</v>
      </c>
      <c r="E9" s="5" t="str">
        <f t="shared" si="2"/>
        <v>SIM</v>
      </c>
      <c r="F9" s="20">
        <f t="shared" si="3"/>
        <v>43.417200000000001</v>
      </c>
    </row>
    <row r="10" spans="2:6">
      <c r="B10" s="6">
        <v>41148</v>
      </c>
      <c r="C10" s="14">
        <v>1549.15</v>
      </c>
      <c r="D10" s="5">
        <f t="shared" si="1"/>
        <v>18.5898</v>
      </c>
      <c r="E10" s="5" t="str">
        <f t="shared" si="2"/>
        <v>SIM</v>
      </c>
      <c r="F10" s="20">
        <f t="shared" si="3"/>
        <v>18.5898</v>
      </c>
    </row>
    <row r="11" spans="2:6">
      <c r="B11" s="6">
        <v>41149</v>
      </c>
      <c r="C11" s="14">
        <v>2088.9</v>
      </c>
      <c r="D11" s="5">
        <f t="shared" si="1"/>
        <v>25.066800000000001</v>
      </c>
      <c r="E11" s="5" t="str">
        <f t="shared" si="2"/>
        <v>SIM</v>
      </c>
      <c r="F11" s="20">
        <f t="shared" si="3"/>
        <v>25.066800000000001</v>
      </c>
    </row>
    <row r="12" spans="2:6">
      <c r="B12" s="6">
        <v>41150</v>
      </c>
      <c r="C12" s="14">
        <v>2538.6</v>
      </c>
      <c r="D12" s="5">
        <f t="shared" si="1"/>
        <v>30.463200000000001</v>
      </c>
      <c r="E12" s="5" t="str">
        <f t="shared" si="2"/>
        <v>SIM</v>
      </c>
      <c r="F12" s="20">
        <f t="shared" si="3"/>
        <v>30.463200000000001</v>
      </c>
    </row>
    <row r="13" spans="2:6">
      <c r="B13" s="6">
        <v>41151</v>
      </c>
      <c r="C13" s="14">
        <v>3058.4</v>
      </c>
      <c r="D13" s="5">
        <f t="shared" si="1"/>
        <v>36.700800000000001</v>
      </c>
      <c r="E13" s="5" t="str">
        <f t="shared" si="2"/>
        <v>SIM</v>
      </c>
      <c r="F13" s="20">
        <f t="shared" si="3"/>
        <v>36.700800000000001</v>
      </c>
    </row>
    <row r="14" spans="2:6">
      <c r="B14" s="6">
        <v>41152</v>
      </c>
      <c r="C14" s="14">
        <v>439.78</v>
      </c>
      <c r="D14" s="5">
        <f t="shared" si="1"/>
        <v>5.2773599999999998</v>
      </c>
      <c r="E14" s="5" t="str">
        <f t="shared" si="2"/>
        <v>NÃO</v>
      </c>
      <c r="F14" s="20" t="str">
        <f t="shared" si="3"/>
        <v xml:space="preserve"> </v>
      </c>
    </row>
    <row r="15" spans="2:6">
      <c r="B15" s="6">
        <v>41153</v>
      </c>
      <c r="C15" s="14">
        <v>1229.4000000000001</v>
      </c>
      <c r="D15" s="5">
        <f t="shared" si="1"/>
        <v>14.752800000000001</v>
      </c>
      <c r="E15" s="5" t="str">
        <f t="shared" si="2"/>
        <v>SIM</v>
      </c>
      <c r="F15" s="20">
        <f t="shared" si="3"/>
        <v>14.752800000000001</v>
      </c>
    </row>
    <row r="16" spans="2:6">
      <c r="B16" s="6">
        <v>41154</v>
      </c>
      <c r="C16" s="14">
        <v>2198.9</v>
      </c>
      <c r="D16" s="5">
        <f t="shared" si="1"/>
        <v>26.386800000000001</v>
      </c>
      <c r="E16" s="5" t="str">
        <f t="shared" si="2"/>
        <v>SIM</v>
      </c>
      <c r="F16" s="20">
        <f t="shared" si="3"/>
        <v>26.386800000000001</v>
      </c>
    </row>
    <row r="17" spans="2:6">
      <c r="B17" s="6">
        <v>41155</v>
      </c>
      <c r="C17" s="14">
        <v>1939</v>
      </c>
      <c r="D17" s="5">
        <f t="shared" si="1"/>
        <v>23.268000000000001</v>
      </c>
      <c r="E17" s="5" t="str">
        <f t="shared" si="2"/>
        <v>SIM</v>
      </c>
      <c r="F17" s="20">
        <f t="shared" si="3"/>
        <v>23.268000000000001</v>
      </c>
    </row>
    <row r="18" spans="2:6">
      <c r="B18" s="6">
        <v>41156</v>
      </c>
      <c r="C18" s="14">
        <v>2088.9</v>
      </c>
      <c r="D18" s="5">
        <f t="shared" si="1"/>
        <v>25.066800000000001</v>
      </c>
      <c r="E18" s="5" t="str">
        <f t="shared" si="2"/>
        <v>SIM</v>
      </c>
      <c r="F18" s="20">
        <f t="shared" si="3"/>
        <v>25.066800000000001</v>
      </c>
    </row>
    <row r="19" spans="2:6">
      <c r="B19" s="6">
        <v>41157</v>
      </c>
      <c r="C19" s="14">
        <v>1549.15</v>
      </c>
      <c r="D19" s="5">
        <f t="shared" si="1"/>
        <v>18.5898</v>
      </c>
      <c r="E19" s="5" t="str">
        <f t="shared" si="2"/>
        <v>SIM</v>
      </c>
      <c r="F19" s="20">
        <f t="shared" si="3"/>
        <v>18.5898</v>
      </c>
    </row>
    <row r="20" spans="2:6">
      <c r="B20" s="6">
        <v>41158</v>
      </c>
      <c r="C20" s="14">
        <v>790.59</v>
      </c>
      <c r="D20" s="5">
        <f t="shared" si="1"/>
        <v>9.4870800000000006</v>
      </c>
      <c r="E20" s="5" t="str">
        <f t="shared" si="2"/>
        <v>NÃO</v>
      </c>
      <c r="F20" s="20" t="str">
        <f t="shared" si="3"/>
        <v xml:space="preserve"> </v>
      </c>
    </row>
    <row r="21" spans="2:6">
      <c r="B21" s="6">
        <v>41159</v>
      </c>
      <c r="C21" s="14">
        <v>432.77</v>
      </c>
      <c r="D21" s="5">
        <f t="shared" si="1"/>
        <v>5.1932400000000003</v>
      </c>
      <c r="E21" s="5" t="str">
        <f t="shared" si="2"/>
        <v>NÃO</v>
      </c>
      <c r="F21" s="20" t="str">
        <f t="shared" si="3"/>
        <v xml:space="preserve"> </v>
      </c>
    </row>
    <row r="22" spans="2:6">
      <c r="B22" s="6">
        <v>41160</v>
      </c>
      <c r="C22" s="14">
        <v>1783.06</v>
      </c>
      <c r="D22" s="5">
        <f t="shared" si="1"/>
        <v>21.396719999999998</v>
      </c>
      <c r="E22" s="5" t="str">
        <f t="shared" si="2"/>
        <v>SIM</v>
      </c>
      <c r="F22" s="20">
        <f t="shared" si="3"/>
        <v>21.396719999999998</v>
      </c>
    </row>
    <row r="23" spans="2:6">
      <c r="B23" s="6">
        <v>41161</v>
      </c>
      <c r="C23" s="14">
        <v>1349.1</v>
      </c>
      <c r="D23" s="5">
        <f t="shared" si="1"/>
        <v>16.1892</v>
      </c>
      <c r="E23" s="5" t="str">
        <f t="shared" si="2"/>
        <v>SIM</v>
      </c>
      <c r="F23" s="20">
        <f t="shared" si="3"/>
        <v>16.1892</v>
      </c>
    </row>
    <row r="24" spans="2:6">
      <c r="B24" s="6">
        <v>41162</v>
      </c>
      <c r="C24" s="14">
        <v>914.5</v>
      </c>
      <c r="D24" s="5">
        <f t="shared" si="1"/>
        <v>10.974</v>
      </c>
      <c r="E24" s="5" t="str">
        <f t="shared" si="2"/>
        <v>SIM</v>
      </c>
      <c r="F24" s="20">
        <f t="shared" si="3"/>
        <v>10.974</v>
      </c>
    </row>
    <row r="25" spans="2:6">
      <c r="B25" s="6">
        <v>41163</v>
      </c>
      <c r="C25" s="14">
        <v>1269.3</v>
      </c>
      <c r="D25" s="5">
        <f t="shared" si="1"/>
        <v>15.2316</v>
      </c>
      <c r="E25" s="5" t="str">
        <f t="shared" si="2"/>
        <v>SIM</v>
      </c>
      <c r="F25" s="20">
        <f t="shared" si="3"/>
        <v>15.2316</v>
      </c>
    </row>
    <row r="26" spans="2:6">
      <c r="B26" s="6">
        <v>41164</v>
      </c>
      <c r="C26" s="14">
        <v>179.88</v>
      </c>
      <c r="D26" s="5">
        <f t="shared" si="1"/>
        <v>2.15856</v>
      </c>
      <c r="E26" s="5" t="str">
        <f t="shared" si="2"/>
        <v>NÃO</v>
      </c>
      <c r="F26" s="20" t="str">
        <f t="shared" si="3"/>
        <v xml:space="preserve"> </v>
      </c>
    </row>
    <row r="27" spans="2:6">
      <c r="B27" s="6">
        <v>41165</v>
      </c>
      <c r="C27" s="14">
        <v>1939</v>
      </c>
      <c r="D27" s="5">
        <f t="shared" si="1"/>
        <v>23.268000000000001</v>
      </c>
      <c r="E27" s="5" t="str">
        <f t="shared" si="2"/>
        <v>SIM</v>
      </c>
      <c r="F27" s="20">
        <f t="shared" si="3"/>
        <v>23.268000000000001</v>
      </c>
    </row>
    <row r="28" spans="2:6">
      <c r="B28" s="6">
        <v>41166</v>
      </c>
      <c r="C28" s="14">
        <v>813.56</v>
      </c>
      <c r="D28" s="5">
        <f t="shared" si="1"/>
        <v>9.7627199999999998</v>
      </c>
      <c r="E28" s="5" t="str">
        <f t="shared" si="2"/>
        <v>NÃO</v>
      </c>
      <c r="F28" s="20" t="str">
        <f t="shared" si="3"/>
        <v xml:space="preserve"> </v>
      </c>
    </row>
    <row r="29" spans="2:6">
      <c r="B29" s="6">
        <v>41167</v>
      </c>
      <c r="C29" s="14">
        <v>2648.6</v>
      </c>
      <c r="D29" s="5">
        <f t="shared" si="1"/>
        <v>31.783200000000001</v>
      </c>
      <c r="E29" s="5" t="str">
        <f t="shared" si="2"/>
        <v>SIM</v>
      </c>
      <c r="F29" s="20">
        <f t="shared" si="3"/>
        <v>31.783200000000001</v>
      </c>
    </row>
    <row r="30" spans="2:6">
      <c r="B30" s="6">
        <v>41168</v>
      </c>
      <c r="C30" s="14">
        <v>2868.6</v>
      </c>
      <c r="D30" s="5">
        <f t="shared" si="1"/>
        <v>34.423200000000001</v>
      </c>
      <c r="E30" s="5" t="str">
        <f t="shared" si="2"/>
        <v>SIM</v>
      </c>
      <c r="F30" s="20">
        <f t="shared" si="3"/>
        <v>34.423200000000001</v>
      </c>
    </row>
    <row r="31" spans="2:6">
      <c r="B31" s="6">
        <v>41169</v>
      </c>
      <c r="C31" s="14">
        <v>3278.4</v>
      </c>
      <c r="D31" s="5">
        <f t="shared" si="1"/>
        <v>39.340800000000002</v>
      </c>
      <c r="E31" s="5" t="str">
        <f t="shared" si="2"/>
        <v>SIM</v>
      </c>
      <c r="F31" s="20">
        <f t="shared" si="3"/>
        <v>39.340800000000002</v>
      </c>
    </row>
    <row r="32" spans="2:6">
      <c r="B32" s="6">
        <v>41170</v>
      </c>
      <c r="C32" s="14">
        <v>2746.52</v>
      </c>
      <c r="D32" s="5">
        <f t="shared" si="1"/>
        <v>32.958240000000004</v>
      </c>
      <c r="E32" s="5" t="str">
        <f t="shared" si="2"/>
        <v>SIM</v>
      </c>
      <c r="F32" s="20">
        <f t="shared" si="3"/>
        <v>32.958240000000004</v>
      </c>
    </row>
    <row r="33" spans="2:6">
      <c r="B33" s="6">
        <v>41171</v>
      </c>
      <c r="C33" s="14">
        <v>1783.06</v>
      </c>
      <c r="D33" s="5">
        <f t="shared" si="1"/>
        <v>21.396719999999998</v>
      </c>
      <c r="E33" s="5" t="str">
        <f t="shared" si="2"/>
        <v>SIM</v>
      </c>
      <c r="F33" s="20">
        <f t="shared" si="3"/>
        <v>21.396719999999998</v>
      </c>
    </row>
    <row r="34" spans="2:6">
      <c r="B34" s="6">
        <v>41172</v>
      </c>
      <c r="C34" s="14">
        <v>2238.8000000000002</v>
      </c>
      <c r="D34" s="5">
        <f t="shared" si="1"/>
        <v>26.865600000000004</v>
      </c>
      <c r="E34" s="5" t="str">
        <f t="shared" si="2"/>
        <v>SIM</v>
      </c>
      <c r="F34" s="20">
        <f t="shared" si="3"/>
        <v>26.865600000000004</v>
      </c>
    </row>
    <row r="35" spans="2:6">
      <c r="B35" s="6">
        <v>41173</v>
      </c>
      <c r="C35" s="14">
        <v>1373.26</v>
      </c>
      <c r="D35" s="5">
        <f t="shared" si="1"/>
        <v>16.479120000000002</v>
      </c>
      <c r="E35" s="5" t="str">
        <f t="shared" si="2"/>
        <v>SIM</v>
      </c>
      <c r="F35" s="20">
        <f t="shared" si="3"/>
        <v>16.479120000000002</v>
      </c>
    </row>
    <row r="36" spans="2:6">
      <c r="B36" s="6">
        <v>41174</v>
      </c>
      <c r="C36" s="14">
        <v>2908.5</v>
      </c>
      <c r="D36" s="5">
        <f t="shared" si="1"/>
        <v>34.902000000000001</v>
      </c>
      <c r="E36" s="5" t="str">
        <f t="shared" si="2"/>
        <v>SIM</v>
      </c>
      <c r="F36" s="20">
        <f t="shared" si="3"/>
        <v>34.902000000000001</v>
      </c>
    </row>
    <row r="37" spans="2:6">
      <c r="B37" s="6">
        <v>41175</v>
      </c>
      <c r="C37" s="14">
        <v>689.65</v>
      </c>
      <c r="D37" s="5">
        <f t="shared" si="1"/>
        <v>8.2758000000000003</v>
      </c>
      <c r="E37" s="5" t="str">
        <f t="shared" si="2"/>
        <v>NÃO</v>
      </c>
      <c r="F37" s="20" t="str">
        <f t="shared" si="3"/>
        <v xml:space="preserve"> </v>
      </c>
    </row>
    <row r="38" spans="2:6">
      <c r="B38" s="6">
        <v>41176</v>
      </c>
      <c r="C38" s="14">
        <v>1789.1</v>
      </c>
      <c r="D38" s="5">
        <f t="shared" si="1"/>
        <v>21.469200000000001</v>
      </c>
      <c r="E38" s="5" t="str">
        <f t="shared" si="2"/>
        <v>SIM</v>
      </c>
      <c r="F38" s="20">
        <f t="shared" si="3"/>
        <v>21.469200000000001</v>
      </c>
    </row>
    <row r="39" spans="2:6">
      <c r="B39" s="6">
        <v>41177</v>
      </c>
      <c r="C39" s="14">
        <v>223.88</v>
      </c>
      <c r="D39" s="5">
        <f t="shared" si="1"/>
        <v>2.6865600000000001</v>
      </c>
      <c r="E39" s="5" t="str">
        <f t="shared" si="2"/>
        <v>NÃO</v>
      </c>
      <c r="F39" s="20" t="str">
        <f t="shared" si="3"/>
        <v xml:space="preserve"> </v>
      </c>
    </row>
    <row r="40" spans="2:6">
      <c r="B40" s="6">
        <v>41178</v>
      </c>
      <c r="C40" s="14">
        <v>2088.9</v>
      </c>
      <c r="D40" s="5">
        <f t="shared" si="1"/>
        <v>25.066800000000001</v>
      </c>
      <c r="E40" s="5" t="str">
        <f t="shared" si="2"/>
        <v>SIM</v>
      </c>
      <c r="F40" s="20">
        <f t="shared" si="3"/>
        <v>25.066800000000001</v>
      </c>
    </row>
    <row r="41" spans="2:6">
      <c r="B41" s="6">
        <v>41179</v>
      </c>
      <c r="C41" s="14">
        <v>1399.25</v>
      </c>
      <c r="D41" s="5">
        <f t="shared" si="1"/>
        <v>16.791</v>
      </c>
      <c r="E41" s="5" t="str">
        <f t="shared" si="2"/>
        <v>SIM</v>
      </c>
      <c r="F41" s="20">
        <f t="shared" si="3"/>
        <v>16.791</v>
      </c>
    </row>
    <row r="42" spans="2:6">
      <c r="B42" s="6">
        <v>41180</v>
      </c>
      <c r="C42" s="14">
        <v>1269.3</v>
      </c>
      <c r="D42" s="5">
        <f t="shared" si="1"/>
        <v>15.2316</v>
      </c>
      <c r="E42" s="5" t="str">
        <f t="shared" si="2"/>
        <v>SIM</v>
      </c>
      <c r="F42" s="20">
        <f t="shared" si="3"/>
        <v>15.2316</v>
      </c>
    </row>
    <row r="43" spans="2:6">
      <c r="B43" s="6">
        <v>41181</v>
      </c>
      <c r="C43" s="14">
        <v>2908.5</v>
      </c>
      <c r="D43" s="5">
        <f t="shared" si="1"/>
        <v>34.902000000000001</v>
      </c>
      <c r="E43" s="5" t="str">
        <f t="shared" si="2"/>
        <v>SIM</v>
      </c>
      <c r="F43" s="20">
        <f t="shared" si="3"/>
        <v>34.902000000000001</v>
      </c>
    </row>
    <row r="44" spans="2:6">
      <c r="B44" s="6">
        <v>41182</v>
      </c>
      <c r="C44" s="14">
        <v>1939</v>
      </c>
      <c r="D44" s="5">
        <f t="shared" si="1"/>
        <v>23.268000000000001</v>
      </c>
      <c r="E44" s="5" t="str">
        <f t="shared" si="2"/>
        <v>SIM</v>
      </c>
      <c r="F44" s="20">
        <f t="shared" si="3"/>
        <v>23.268000000000001</v>
      </c>
    </row>
    <row r="45" spans="2:6">
      <c r="B45" s="6">
        <v>41183</v>
      </c>
      <c r="C45" s="14">
        <v>813.56</v>
      </c>
      <c r="D45" s="5">
        <f t="shared" si="1"/>
        <v>9.7627199999999998</v>
      </c>
      <c r="E45" s="5" t="str">
        <f t="shared" si="2"/>
        <v>NÃO</v>
      </c>
      <c r="F45" s="20" t="str">
        <f t="shared" si="3"/>
        <v xml:space="preserve"> </v>
      </c>
    </row>
    <row r="46" spans="2:6">
      <c r="B46" s="6">
        <v>41184</v>
      </c>
      <c r="C46" s="14">
        <v>839.55</v>
      </c>
      <c r="D46" s="5">
        <f t="shared" si="1"/>
        <v>10.0746</v>
      </c>
      <c r="E46" s="5" t="str">
        <f t="shared" si="2"/>
        <v>SIM</v>
      </c>
      <c r="F46" s="20">
        <f t="shared" si="3"/>
        <v>10.0746</v>
      </c>
    </row>
    <row r="47" spans="2:6">
      <c r="B47" s="6">
        <v>41185</v>
      </c>
      <c r="C47" s="14">
        <v>1679.1</v>
      </c>
      <c r="D47" s="5">
        <f t="shared" si="1"/>
        <v>20.1492</v>
      </c>
      <c r="E47" s="5" t="str">
        <f t="shared" si="2"/>
        <v>SIM</v>
      </c>
      <c r="F47" s="20">
        <f t="shared" si="3"/>
        <v>20.1492</v>
      </c>
    </row>
    <row r="48" spans="2:6">
      <c r="B48" s="6">
        <v>41186</v>
      </c>
      <c r="C48" s="14">
        <v>1679.1</v>
      </c>
      <c r="D48" s="5">
        <f t="shared" si="1"/>
        <v>20.1492</v>
      </c>
      <c r="E48" s="5" t="str">
        <f t="shared" si="2"/>
        <v>SIM</v>
      </c>
      <c r="F48" s="20">
        <f t="shared" si="3"/>
        <v>20.1492</v>
      </c>
    </row>
    <row r="49" spans="2:6">
      <c r="B49" s="6">
        <v>41187</v>
      </c>
      <c r="C49" s="14">
        <v>2948.4</v>
      </c>
      <c r="D49" s="5">
        <f t="shared" si="1"/>
        <v>35.380800000000001</v>
      </c>
      <c r="E49" s="5" t="str">
        <f t="shared" si="2"/>
        <v>SIM</v>
      </c>
      <c r="F49" s="20">
        <f t="shared" si="3"/>
        <v>35.380800000000001</v>
      </c>
    </row>
    <row r="50" spans="2:6">
      <c r="B50" s="6">
        <v>41188</v>
      </c>
      <c r="C50" s="14">
        <v>299.8</v>
      </c>
      <c r="D50" s="5">
        <f t="shared" si="1"/>
        <v>3.5976000000000004</v>
      </c>
      <c r="E50" s="5" t="str">
        <f t="shared" si="2"/>
        <v>NÃO</v>
      </c>
      <c r="F50" s="20" t="str">
        <f t="shared" si="3"/>
        <v xml:space="preserve"> </v>
      </c>
    </row>
    <row r="51" spans="2:6">
      <c r="B51" s="6">
        <v>41189</v>
      </c>
      <c r="C51" s="14">
        <v>269.82</v>
      </c>
      <c r="D51" s="30">
        <f t="shared" si="1"/>
        <v>3.2378399999999998</v>
      </c>
      <c r="E51" s="30" t="str">
        <f t="shared" si="2"/>
        <v>NÃO</v>
      </c>
      <c r="F51" s="20" t="str">
        <f t="shared" si="3"/>
        <v xml:space="preserve"> </v>
      </c>
    </row>
    <row r="52" spans="2:6">
      <c r="B52" s="6">
        <v>41190</v>
      </c>
      <c r="C52" s="14">
        <v>449.7</v>
      </c>
      <c r="D52" s="5">
        <f t="shared" si="1"/>
        <v>5.3963999999999999</v>
      </c>
      <c r="E52" s="5" t="str">
        <f t="shared" si="2"/>
        <v>NÃO</v>
      </c>
      <c r="F52" s="20" t="str">
        <f t="shared" si="3"/>
        <v xml:space="preserve"> </v>
      </c>
    </row>
    <row r="53" spans="2:6">
      <c r="B53" s="6">
        <v>41191</v>
      </c>
      <c r="C53" s="14">
        <v>299.8</v>
      </c>
      <c r="D53" s="5">
        <f t="shared" si="1"/>
        <v>3.5976000000000004</v>
      </c>
      <c r="E53" s="5" t="str">
        <f t="shared" si="2"/>
        <v>NÃO</v>
      </c>
      <c r="F53" s="20" t="str">
        <f t="shared" si="3"/>
        <v xml:space="preserve"> </v>
      </c>
    </row>
    <row r="54" spans="2:6">
      <c r="B54" s="6">
        <v>41192</v>
      </c>
      <c r="C54" s="14">
        <v>299.8</v>
      </c>
      <c r="D54" s="5">
        <f t="shared" si="1"/>
        <v>3.5976000000000004</v>
      </c>
      <c r="E54" s="5" t="str">
        <f t="shared" si="2"/>
        <v>NÃO</v>
      </c>
      <c r="F54" s="20" t="str">
        <f t="shared" si="3"/>
        <v xml:space="preserve"> </v>
      </c>
    </row>
    <row r="55" spans="2:6">
      <c r="B55" s="6">
        <v>41193</v>
      </c>
      <c r="C55" s="14">
        <v>374.75</v>
      </c>
      <c r="D55" s="5">
        <f t="shared" si="1"/>
        <v>4.4969999999999999</v>
      </c>
      <c r="E55" s="5" t="str">
        <f t="shared" si="2"/>
        <v>NÃO</v>
      </c>
      <c r="F55" s="20" t="str">
        <f t="shared" si="3"/>
        <v xml:space="preserve"> </v>
      </c>
    </row>
    <row r="56" spans="2:6">
      <c r="B56" s="6">
        <v>41194</v>
      </c>
      <c r="C56" s="14">
        <v>539.64</v>
      </c>
      <c r="D56" s="5">
        <f t="shared" si="1"/>
        <v>6.4756799999999997</v>
      </c>
      <c r="E56" s="5" t="str">
        <f t="shared" si="2"/>
        <v>NÃO</v>
      </c>
      <c r="F56" s="20" t="str">
        <f t="shared" si="3"/>
        <v xml:space="preserve"> </v>
      </c>
    </row>
    <row r="57" spans="2:6">
      <c r="B57" s="6">
        <v>41195</v>
      </c>
      <c r="C57" s="14">
        <v>224.85</v>
      </c>
      <c r="D57" s="5">
        <f t="shared" si="1"/>
        <v>2.6981999999999999</v>
      </c>
      <c r="E57" s="5" t="str">
        <f t="shared" si="2"/>
        <v>NÃO</v>
      </c>
      <c r="F57" s="20" t="str">
        <f t="shared" si="3"/>
        <v xml:space="preserve"> </v>
      </c>
    </row>
    <row r="58" spans="2:6">
      <c r="B58" s="6">
        <v>41196</v>
      </c>
      <c r="C58" s="14">
        <v>389.74</v>
      </c>
      <c r="D58" s="5">
        <f t="shared" si="1"/>
        <v>4.6768800000000006</v>
      </c>
      <c r="E58" s="5" t="str">
        <f t="shared" si="2"/>
        <v>NÃO</v>
      </c>
      <c r="F58" s="20" t="str">
        <f t="shared" si="3"/>
        <v xml:space="preserve"> </v>
      </c>
    </row>
    <row r="59" spans="2:6" ht="18.75" customHeight="1">
      <c r="B59" s="6">
        <v>41197</v>
      </c>
      <c r="C59" s="33">
        <v>479.68</v>
      </c>
      <c r="D59" s="34">
        <f t="shared" si="1"/>
        <v>5.7561600000000004</v>
      </c>
      <c r="E59" s="34" t="str">
        <f t="shared" si="2"/>
        <v>NÃO</v>
      </c>
      <c r="F59" s="20" t="str">
        <f t="shared" si="3"/>
        <v xml:space="preserve"> </v>
      </c>
    </row>
    <row r="60" spans="2:6">
      <c r="B60" s="24">
        <v>41198</v>
      </c>
      <c r="C60" s="14">
        <v>749.5</v>
      </c>
      <c r="D60" s="30">
        <f t="shared" si="1"/>
        <v>8.9939999999999998</v>
      </c>
      <c r="E60" s="30" t="str">
        <f t="shared" si="2"/>
        <v>NÃO</v>
      </c>
      <c r="F60" s="27" t="str">
        <f t="shared" si="3"/>
        <v xml:space="preserve"> </v>
      </c>
    </row>
    <row r="61" spans="2:6">
      <c r="B61" s="24">
        <v>41199</v>
      </c>
      <c r="C61" s="33">
        <v>299.8</v>
      </c>
      <c r="D61" s="30">
        <f t="shared" si="1"/>
        <v>3.5976000000000004</v>
      </c>
      <c r="E61" s="30" t="str">
        <f t="shared" si="2"/>
        <v>NÃO</v>
      </c>
      <c r="F61" s="27" t="str">
        <f t="shared" si="3"/>
        <v xml:space="preserve"> </v>
      </c>
    </row>
    <row r="62" spans="2:6">
      <c r="B62" s="24">
        <v>41200</v>
      </c>
      <c r="C62" s="33">
        <v>749.5</v>
      </c>
      <c r="D62" s="30">
        <f t="shared" si="1"/>
        <v>8.9939999999999998</v>
      </c>
      <c r="E62" s="30" t="str">
        <f t="shared" si="2"/>
        <v>NÃO</v>
      </c>
      <c r="F62" s="27" t="str">
        <f t="shared" si="3"/>
        <v xml:space="preserve"> </v>
      </c>
    </row>
    <row r="63" spans="2:6">
      <c r="B63" s="24">
        <v>41201</v>
      </c>
      <c r="C63" s="33">
        <v>299.8</v>
      </c>
      <c r="D63" s="30">
        <f t="shared" si="1"/>
        <v>3.5976000000000004</v>
      </c>
      <c r="E63" s="30" t="str">
        <f t="shared" si="2"/>
        <v>NÃO</v>
      </c>
      <c r="F63" s="27" t="str">
        <f t="shared" si="3"/>
        <v xml:space="preserve"> </v>
      </c>
    </row>
    <row r="64" spans="2:6">
      <c r="B64" s="24">
        <v>41202</v>
      </c>
      <c r="C64" s="33">
        <v>374.75</v>
      </c>
      <c r="D64" s="17">
        <f t="shared" si="1"/>
        <v>4.4969999999999999</v>
      </c>
      <c r="E64" s="17" t="str">
        <f t="shared" si="2"/>
        <v>NÃO</v>
      </c>
      <c r="F64" s="27" t="str">
        <f t="shared" si="3"/>
        <v xml:space="preserve"> </v>
      </c>
    </row>
    <row r="65" spans="2:6">
      <c r="B65" s="24">
        <v>41203</v>
      </c>
      <c r="C65" s="33">
        <v>299.8</v>
      </c>
      <c r="D65" s="17">
        <f t="shared" si="1"/>
        <v>3.5976000000000004</v>
      </c>
      <c r="E65" s="17" t="str">
        <f t="shared" si="2"/>
        <v>NÃO</v>
      </c>
      <c r="F65" s="27" t="str">
        <f t="shared" si="3"/>
        <v xml:space="preserve"> </v>
      </c>
    </row>
    <row r="66" spans="2:6">
      <c r="B66" s="24">
        <v>41204</v>
      </c>
      <c r="C66" s="33">
        <v>374.75</v>
      </c>
      <c r="D66" s="17">
        <f t="shared" si="1"/>
        <v>4.4969999999999999</v>
      </c>
      <c r="E66" s="17" t="str">
        <f t="shared" si="2"/>
        <v>NÃO</v>
      </c>
      <c r="F66" s="27" t="str">
        <f t="shared" si="3"/>
        <v xml:space="preserve"> </v>
      </c>
    </row>
    <row r="67" spans="2:6" ht="15.75" thickBot="1">
      <c r="B67" s="24">
        <v>41205</v>
      </c>
      <c r="C67" s="15">
        <v>239.84</v>
      </c>
      <c r="D67" s="8">
        <f t="shared" si="1"/>
        <v>2.8780800000000002</v>
      </c>
      <c r="E67" s="8" t="str">
        <f t="shared" si="2"/>
        <v>NÃO</v>
      </c>
      <c r="F67" s="27" t="str">
        <f t="shared" si="3"/>
        <v xml:space="preserve"> </v>
      </c>
    </row>
    <row r="68" spans="2:6" ht="15.75" thickBot="1">
      <c r="B68" s="9" t="s">
        <v>4</v>
      </c>
      <c r="C68" s="16">
        <f>SUM(C5:C67)</f>
        <v>85342.170000000042</v>
      </c>
      <c r="D68" s="10">
        <f>SUM(D5:D67)</f>
        <v>1024.1060400000006</v>
      </c>
      <c r="E68" s="9"/>
      <c r="F68" s="22">
        <f>SUM(F5:F67)</f>
        <v>872.32596000000012</v>
      </c>
    </row>
    <row r="69" spans="2:6">
      <c r="B69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>
      <c r="B79"/>
    </row>
    <row r="80" spans="2:6">
      <c r="B80"/>
    </row>
    <row r="81" spans="2:6">
      <c r="B81"/>
    </row>
    <row r="82" spans="2:6">
      <c r="B82"/>
    </row>
    <row r="83" spans="2:6">
      <c r="B83"/>
    </row>
    <row r="84" spans="2:6" s="11" customFormat="1">
      <c r="B84"/>
      <c r="D84"/>
      <c r="E84"/>
      <c r="F84" s="18"/>
    </row>
    <row r="85" spans="2:6" s="11" customFormat="1">
      <c r="B85"/>
      <c r="D85"/>
      <c r="E85"/>
      <c r="F85" s="18"/>
    </row>
    <row r="86" spans="2:6" s="11" customFormat="1">
      <c r="B86"/>
      <c r="D86"/>
      <c r="E86"/>
      <c r="F86" s="18"/>
    </row>
    <row r="87" spans="2:6" s="11" customFormat="1">
      <c r="B87"/>
      <c r="D87"/>
      <c r="E87"/>
      <c r="F87" s="18"/>
    </row>
    <row r="88" spans="2:6" s="11" customFormat="1">
      <c r="B88"/>
      <c r="D88"/>
      <c r="E88"/>
      <c r="F88" s="18"/>
    </row>
    <row r="89" spans="2:6" s="11" customFormat="1">
      <c r="B89"/>
      <c r="D89"/>
      <c r="E89"/>
      <c r="F89" s="18"/>
    </row>
  </sheetData>
  <mergeCells count="1">
    <mergeCell ref="B1:F1"/>
  </mergeCells>
  <conditionalFormatting sqref="E71:E1048576 E3:E69">
    <cfRule type="cellIs" dxfId="8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89"/>
  <sheetViews>
    <sheetView workbookViewId="0">
      <pane ySplit="2" topLeftCell="A6" activePane="bottomLeft" state="frozen"/>
      <selection pane="bottomLeft" activeCell="J8" sqref="J8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11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29">
        <f t="shared" ref="F2" si="0">F68</f>
        <v>898.98863999999958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41269</v>
      </c>
      <c r="C5" s="13">
        <v>3256.02</v>
      </c>
      <c r="D5" s="5">
        <f>C5*1.2%</f>
        <v>39.072240000000001</v>
      </c>
      <c r="E5" s="5" t="str">
        <f>IF(D5&lt;=10,"NÃO","SIM")</f>
        <v>SIM</v>
      </c>
      <c r="F5" s="19">
        <f>IF((D5)&lt;10," ",D5)</f>
        <v>39.072240000000001</v>
      </c>
    </row>
    <row r="6" spans="2:6">
      <c r="B6" s="6">
        <v>41270</v>
      </c>
      <c r="C6" s="14">
        <v>857.76</v>
      </c>
      <c r="D6" s="5">
        <f t="shared" ref="D6:D67" si="1">C6*1.2%</f>
        <v>10.29312</v>
      </c>
      <c r="E6" s="5" t="str">
        <f t="shared" ref="E6:E67" si="2">IF(D6&lt;=10,"NÃO","SIM")</f>
        <v>SIM</v>
      </c>
      <c r="F6" s="20">
        <f t="shared" ref="F6:F67" si="3">IF((D6)&lt;10," ",D6)</f>
        <v>10.29312</v>
      </c>
    </row>
    <row r="7" spans="2:6">
      <c r="B7" s="6">
        <v>41271</v>
      </c>
      <c r="C7" s="14">
        <v>1058.8699999999999</v>
      </c>
      <c r="D7" s="5">
        <f t="shared" si="1"/>
        <v>12.706439999999999</v>
      </c>
      <c r="E7" s="5" t="str">
        <f t="shared" si="2"/>
        <v>SIM</v>
      </c>
      <c r="F7" s="19">
        <f t="shared" si="3"/>
        <v>12.706439999999999</v>
      </c>
    </row>
    <row r="8" spans="2:6">
      <c r="B8" s="6">
        <v>41272</v>
      </c>
      <c r="C8" s="14">
        <v>679.87</v>
      </c>
      <c r="D8" s="5">
        <f t="shared" si="1"/>
        <v>8.1584400000000006</v>
      </c>
      <c r="E8" s="5" t="str">
        <f t="shared" si="2"/>
        <v>NÃO</v>
      </c>
      <c r="F8" s="20" t="str">
        <f t="shared" si="3"/>
        <v xml:space="preserve"> </v>
      </c>
    </row>
    <row r="9" spans="2:6">
      <c r="B9" s="6">
        <v>41273</v>
      </c>
      <c r="C9" s="14">
        <v>3426.5</v>
      </c>
      <c r="D9" s="5">
        <f t="shared" si="1"/>
        <v>41.118000000000002</v>
      </c>
      <c r="E9" s="5" t="str">
        <f t="shared" si="2"/>
        <v>SIM</v>
      </c>
      <c r="F9" s="19">
        <f t="shared" si="3"/>
        <v>41.118000000000002</v>
      </c>
    </row>
    <row r="10" spans="2:6">
      <c r="B10" s="6">
        <v>41274</v>
      </c>
      <c r="C10" s="14">
        <v>1491.23</v>
      </c>
      <c r="D10" s="5">
        <f t="shared" si="1"/>
        <v>17.894760000000002</v>
      </c>
      <c r="E10" s="5" t="str">
        <f t="shared" si="2"/>
        <v>SIM</v>
      </c>
      <c r="F10" s="20">
        <f t="shared" si="3"/>
        <v>17.894760000000002</v>
      </c>
    </row>
    <row r="11" spans="2:6">
      <c r="B11" s="6">
        <v>41275</v>
      </c>
      <c r="C11" s="14">
        <v>2238.42</v>
      </c>
      <c r="D11" s="5">
        <f t="shared" si="1"/>
        <v>26.861040000000003</v>
      </c>
      <c r="E11" s="5" t="str">
        <f t="shared" si="2"/>
        <v>SIM</v>
      </c>
      <c r="F11" s="19">
        <f t="shared" si="3"/>
        <v>26.861040000000003</v>
      </c>
    </row>
    <row r="12" spans="2:6">
      <c r="B12" s="6">
        <v>41350</v>
      </c>
      <c r="C12" s="14">
        <v>2863.7</v>
      </c>
      <c r="D12" s="5">
        <f t="shared" si="1"/>
        <v>34.364399999999996</v>
      </c>
      <c r="E12" s="5" t="str">
        <f t="shared" si="2"/>
        <v>SIM</v>
      </c>
      <c r="F12" s="19">
        <f t="shared" si="3"/>
        <v>34.364399999999996</v>
      </c>
    </row>
    <row r="13" spans="2:6">
      <c r="B13" s="6">
        <v>41277</v>
      </c>
      <c r="C13" s="14">
        <v>2680.25</v>
      </c>
      <c r="D13" s="5">
        <f t="shared" si="1"/>
        <v>32.163000000000004</v>
      </c>
      <c r="E13" s="5" t="str">
        <f t="shared" si="2"/>
        <v>SIM</v>
      </c>
      <c r="F13" s="19">
        <f t="shared" si="3"/>
        <v>32.163000000000004</v>
      </c>
    </row>
    <row r="14" spans="2:6">
      <c r="B14" s="6">
        <v>41278</v>
      </c>
      <c r="C14" s="14">
        <v>403.83</v>
      </c>
      <c r="D14" s="5">
        <f t="shared" si="1"/>
        <v>4.8459599999999998</v>
      </c>
      <c r="E14" s="5" t="str">
        <f t="shared" si="2"/>
        <v>NÃO</v>
      </c>
      <c r="F14" s="20" t="str">
        <f t="shared" si="3"/>
        <v xml:space="preserve"> </v>
      </c>
    </row>
    <row r="15" spans="2:6">
      <c r="B15" s="6">
        <v>41279</v>
      </c>
      <c r="C15" s="14">
        <v>1282.68</v>
      </c>
      <c r="D15" s="5">
        <f t="shared" si="1"/>
        <v>15.392160000000001</v>
      </c>
      <c r="E15" s="5" t="str">
        <f t="shared" si="2"/>
        <v>SIM</v>
      </c>
      <c r="F15" s="20">
        <f t="shared" si="3"/>
        <v>15.392160000000001</v>
      </c>
    </row>
    <row r="16" spans="2:6">
      <c r="B16" s="6">
        <v>41280</v>
      </c>
      <c r="C16" s="14">
        <v>2356.88</v>
      </c>
      <c r="D16" s="5">
        <f t="shared" si="1"/>
        <v>28.28256</v>
      </c>
      <c r="E16" s="5" t="str">
        <f t="shared" si="2"/>
        <v>SIM</v>
      </c>
      <c r="F16" s="20">
        <f t="shared" si="3"/>
        <v>28.28256</v>
      </c>
    </row>
    <row r="17" spans="2:6">
      <c r="B17" s="6">
        <v>41281</v>
      </c>
      <c r="C17" s="14">
        <v>1939.36</v>
      </c>
      <c r="D17" s="5">
        <f t="shared" si="1"/>
        <v>23.272320000000001</v>
      </c>
      <c r="E17" s="5" t="str">
        <f t="shared" si="2"/>
        <v>SIM</v>
      </c>
      <c r="F17" s="20">
        <f t="shared" si="3"/>
        <v>23.272320000000001</v>
      </c>
    </row>
    <row r="18" spans="2:6">
      <c r="B18" s="6">
        <v>41282</v>
      </c>
      <c r="C18" s="14">
        <v>1879.32</v>
      </c>
      <c r="D18" s="5">
        <f t="shared" si="1"/>
        <v>22.551839999999999</v>
      </c>
      <c r="E18" s="5" t="str">
        <f t="shared" si="2"/>
        <v>SIM</v>
      </c>
      <c r="F18" s="20">
        <f t="shared" si="3"/>
        <v>22.551839999999999</v>
      </c>
    </row>
    <row r="19" spans="2:6">
      <c r="B19" s="6">
        <v>41283</v>
      </c>
      <c r="C19" s="14">
        <v>1685.03</v>
      </c>
      <c r="D19" s="5">
        <f t="shared" si="1"/>
        <v>20.220359999999999</v>
      </c>
      <c r="E19" s="5" t="str">
        <f t="shared" si="2"/>
        <v>SIM</v>
      </c>
      <c r="F19" s="20">
        <f t="shared" si="3"/>
        <v>20.220359999999999</v>
      </c>
    </row>
    <row r="20" spans="2:6">
      <c r="B20" s="6">
        <v>41284</v>
      </c>
      <c r="C20" s="14">
        <v>981.24</v>
      </c>
      <c r="D20" s="5">
        <f t="shared" si="1"/>
        <v>11.77488</v>
      </c>
      <c r="E20" s="5" t="str">
        <f t="shared" si="2"/>
        <v>SIM</v>
      </c>
      <c r="F20" s="20">
        <f t="shared" si="3"/>
        <v>11.77488</v>
      </c>
    </row>
    <row r="21" spans="2:6">
      <c r="B21" s="6">
        <v>41285</v>
      </c>
      <c r="C21" s="14">
        <v>424.19</v>
      </c>
      <c r="D21" s="5">
        <f t="shared" si="1"/>
        <v>5.0902799999999999</v>
      </c>
      <c r="E21" s="5" t="str">
        <f t="shared" si="2"/>
        <v>NÃO</v>
      </c>
      <c r="F21" s="20" t="str">
        <f t="shared" si="3"/>
        <v xml:space="preserve"> </v>
      </c>
    </row>
    <row r="22" spans="2:6">
      <c r="B22" s="6">
        <v>41286</v>
      </c>
      <c r="C22" s="14">
        <v>1954.7</v>
      </c>
      <c r="D22" s="5">
        <f t="shared" si="1"/>
        <v>23.456400000000002</v>
      </c>
      <c r="E22" s="5" t="str">
        <f t="shared" si="2"/>
        <v>SIM</v>
      </c>
      <c r="F22" s="20">
        <f t="shared" si="3"/>
        <v>23.456400000000002</v>
      </c>
    </row>
    <row r="23" spans="2:6">
      <c r="B23" s="6">
        <v>41287</v>
      </c>
      <c r="C23" s="14">
        <v>1924.61</v>
      </c>
      <c r="D23" s="5">
        <f t="shared" si="1"/>
        <v>23.095320000000001</v>
      </c>
      <c r="E23" s="5" t="str">
        <f t="shared" si="2"/>
        <v>SIM</v>
      </c>
      <c r="F23" s="20">
        <f t="shared" si="3"/>
        <v>23.095320000000001</v>
      </c>
    </row>
    <row r="24" spans="2:6">
      <c r="B24" s="6">
        <v>41288</v>
      </c>
      <c r="C24" s="14">
        <v>549.91999999999996</v>
      </c>
      <c r="D24" s="5">
        <f t="shared" si="1"/>
        <v>6.5990399999999996</v>
      </c>
      <c r="E24" s="5" t="str">
        <f t="shared" si="2"/>
        <v>NÃO</v>
      </c>
      <c r="F24" s="20" t="str">
        <f t="shared" si="3"/>
        <v xml:space="preserve"> </v>
      </c>
    </row>
    <row r="25" spans="2:6">
      <c r="B25" s="6">
        <v>41289</v>
      </c>
      <c r="C25" s="14">
        <v>1107.2</v>
      </c>
      <c r="D25" s="5">
        <f t="shared" si="1"/>
        <v>13.2864</v>
      </c>
      <c r="E25" s="5" t="str">
        <f t="shared" si="2"/>
        <v>SIM</v>
      </c>
      <c r="F25" s="20">
        <f t="shared" si="3"/>
        <v>13.2864</v>
      </c>
    </row>
    <row r="26" spans="2:6">
      <c r="B26" s="6">
        <v>41290</v>
      </c>
      <c r="C26" s="14">
        <v>231.05</v>
      </c>
      <c r="D26" s="5">
        <f t="shared" si="1"/>
        <v>2.7726000000000002</v>
      </c>
      <c r="E26" s="5" t="str">
        <f t="shared" si="2"/>
        <v>NÃO</v>
      </c>
      <c r="F26" s="20" t="str">
        <f t="shared" si="3"/>
        <v xml:space="preserve"> </v>
      </c>
    </row>
    <row r="27" spans="2:6">
      <c r="B27" s="6">
        <v>41291</v>
      </c>
      <c r="C27" s="14">
        <v>2165.8000000000002</v>
      </c>
      <c r="D27" s="5">
        <f t="shared" si="1"/>
        <v>25.989600000000003</v>
      </c>
      <c r="E27" s="5" t="str">
        <f t="shared" si="2"/>
        <v>SIM</v>
      </c>
      <c r="F27" s="20">
        <f t="shared" si="3"/>
        <v>25.989600000000003</v>
      </c>
    </row>
    <row r="28" spans="2:6">
      <c r="B28" s="6">
        <v>41292</v>
      </c>
      <c r="C28" s="14">
        <v>795.03</v>
      </c>
      <c r="D28" s="5">
        <f t="shared" si="1"/>
        <v>9.5403599999999997</v>
      </c>
      <c r="E28" s="5" t="str">
        <f t="shared" si="2"/>
        <v>NÃO</v>
      </c>
      <c r="F28" s="20" t="str">
        <f t="shared" si="3"/>
        <v xml:space="preserve"> </v>
      </c>
    </row>
    <row r="29" spans="2:6">
      <c r="B29" s="6">
        <v>41293</v>
      </c>
      <c r="C29" s="14">
        <v>2662.47</v>
      </c>
      <c r="D29" s="5">
        <f t="shared" si="1"/>
        <v>31.949639999999999</v>
      </c>
      <c r="E29" s="5" t="str">
        <f t="shared" si="2"/>
        <v>SIM</v>
      </c>
      <c r="F29" s="20">
        <f t="shared" si="3"/>
        <v>31.949639999999999</v>
      </c>
    </row>
    <row r="30" spans="2:6">
      <c r="B30" s="6">
        <v>41294</v>
      </c>
      <c r="C30" s="14">
        <v>3588.05</v>
      </c>
      <c r="D30" s="5">
        <f t="shared" si="1"/>
        <v>43.056600000000003</v>
      </c>
      <c r="E30" s="5" t="str">
        <f t="shared" si="2"/>
        <v>SIM</v>
      </c>
      <c r="F30" s="20">
        <f t="shared" si="3"/>
        <v>43.056600000000003</v>
      </c>
    </row>
    <row r="31" spans="2:6">
      <c r="B31" s="6">
        <v>41295</v>
      </c>
      <c r="C31" s="14">
        <v>2106.0700000000002</v>
      </c>
      <c r="D31" s="5">
        <f t="shared" si="1"/>
        <v>25.272840000000002</v>
      </c>
      <c r="E31" s="5" t="str">
        <f t="shared" si="2"/>
        <v>SIM</v>
      </c>
      <c r="F31" s="20">
        <f t="shared" si="3"/>
        <v>25.272840000000002</v>
      </c>
    </row>
    <row r="32" spans="2:6">
      <c r="B32" s="6">
        <v>41296</v>
      </c>
      <c r="C32" s="14">
        <v>3252.79</v>
      </c>
      <c r="D32" s="5">
        <f t="shared" si="1"/>
        <v>39.033479999999997</v>
      </c>
      <c r="E32" s="5" t="str">
        <f t="shared" si="2"/>
        <v>SIM</v>
      </c>
      <c r="F32" s="20">
        <f t="shared" si="3"/>
        <v>39.033479999999997</v>
      </c>
    </row>
    <row r="33" spans="2:6">
      <c r="B33" s="6">
        <v>41352</v>
      </c>
      <c r="C33" s="14">
        <v>2071.5</v>
      </c>
      <c r="D33" s="5">
        <f t="shared" si="1"/>
        <v>24.858000000000001</v>
      </c>
      <c r="E33" s="5" t="str">
        <f t="shared" si="2"/>
        <v>SIM</v>
      </c>
      <c r="F33" s="20">
        <f t="shared" si="3"/>
        <v>24.858000000000001</v>
      </c>
    </row>
    <row r="34" spans="2:6">
      <c r="B34" s="6">
        <v>41298</v>
      </c>
      <c r="C34" s="14">
        <v>2462.8000000000002</v>
      </c>
      <c r="D34" s="5">
        <f t="shared" si="1"/>
        <v>29.553600000000003</v>
      </c>
      <c r="E34" s="5" t="str">
        <f t="shared" si="2"/>
        <v>SIM</v>
      </c>
      <c r="F34" s="20">
        <f t="shared" si="3"/>
        <v>29.553600000000003</v>
      </c>
    </row>
    <row r="35" spans="2:6">
      <c r="B35" s="6">
        <v>41299</v>
      </c>
      <c r="C35" s="14">
        <v>998.92</v>
      </c>
      <c r="D35" s="5">
        <f t="shared" si="1"/>
        <v>11.98704</v>
      </c>
      <c r="E35" s="5" t="str">
        <f t="shared" si="2"/>
        <v>SIM</v>
      </c>
      <c r="F35" s="20">
        <f t="shared" si="3"/>
        <v>11.98704</v>
      </c>
    </row>
    <row r="36" spans="2:6">
      <c r="B36" s="6">
        <v>41300</v>
      </c>
      <c r="C36" s="14">
        <v>2594.4</v>
      </c>
      <c r="D36" s="5">
        <f t="shared" si="1"/>
        <v>31.132800000000003</v>
      </c>
      <c r="E36" s="5" t="str">
        <f t="shared" si="2"/>
        <v>SIM</v>
      </c>
      <c r="F36" s="20">
        <f t="shared" si="3"/>
        <v>31.132800000000003</v>
      </c>
    </row>
    <row r="37" spans="2:6">
      <c r="B37" s="6">
        <v>41301</v>
      </c>
      <c r="C37" s="14">
        <v>532.92999999999995</v>
      </c>
      <c r="D37" s="5">
        <f t="shared" si="1"/>
        <v>6.3951599999999997</v>
      </c>
      <c r="E37" s="5" t="str">
        <f t="shared" si="2"/>
        <v>NÃO</v>
      </c>
      <c r="F37" s="20" t="str">
        <f t="shared" si="3"/>
        <v xml:space="preserve"> </v>
      </c>
    </row>
    <row r="38" spans="2:6">
      <c r="B38" s="6">
        <v>41302</v>
      </c>
      <c r="C38" s="14">
        <v>2277.25</v>
      </c>
      <c r="D38" s="5">
        <f t="shared" si="1"/>
        <v>27.327000000000002</v>
      </c>
      <c r="E38" s="5" t="str">
        <f t="shared" si="2"/>
        <v>SIM</v>
      </c>
      <c r="F38" s="20">
        <f t="shared" si="3"/>
        <v>27.327000000000002</v>
      </c>
    </row>
    <row r="39" spans="2:6">
      <c r="B39" s="6">
        <v>41303</v>
      </c>
      <c r="C39" s="14">
        <v>284.11</v>
      </c>
      <c r="D39" s="5">
        <f t="shared" si="1"/>
        <v>3.4093200000000001</v>
      </c>
      <c r="E39" s="5" t="str">
        <f t="shared" si="2"/>
        <v>NÃO</v>
      </c>
      <c r="F39" s="20" t="str">
        <f t="shared" si="3"/>
        <v xml:space="preserve"> </v>
      </c>
    </row>
    <row r="40" spans="2:6">
      <c r="B40" s="6">
        <v>41304</v>
      </c>
      <c r="C40" s="14">
        <v>3386.21</v>
      </c>
      <c r="D40" s="5">
        <f t="shared" si="1"/>
        <v>40.634520000000002</v>
      </c>
      <c r="E40" s="5" t="str">
        <f t="shared" si="2"/>
        <v>SIM</v>
      </c>
      <c r="F40" s="20">
        <f t="shared" si="3"/>
        <v>40.634520000000002</v>
      </c>
    </row>
    <row r="41" spans="2:6">
      <c r="B41" s="6">
        <v>41305</v>
      </c>
      <c r="C41" s="14">
        <v>773.1</v>
      </c>
      <c r="D41" s="5">
        <f t="shared" si="1"/>
        <v>9.2772000000000006</v>
      </c>
      <c r="E41" s="5" t="str">
        <f t="shared" si="2"/>
        <v>NÃO</v>
      </c>
      <c r="F41" s="20" t="str">
        <f t="shared" si="3"/>
        <v xml:space="preserve"> </v>
      </c>
    </row>
    <row r="42" spans="2:6">
      <c r="B42" s="6">
        <v>41306</v>
      </c>
      <c r="C42" s="14">
        <v>1185.45</v>
      </c>
      <c r="D42" s="5">
        <f t="shared" si="1"/>
        <v>14.2254</v>
      </c>
      <c r="E42" s="5" t="str">
        <f t="shared" si="2"/>
        <v>SIM</v>
      </c>
      <c r="F42" s="20">
        <f t="shared" si="3"/>
        <v>14.2254</v>
      </c>
    </row>
    <row r="43" spans="2:6">
      <c r="B43" s="6">
        <v>41307</v>
      </c>
      <c r="C43" s="14">
        <v>2391.17</v>
      </c>
      <c r="D43" s="5">
        <f t="shared" si="1"/>
        <v>28.694040000000001</v>
      </c>
      <c r="E43" s="5" t="str">
        <f t="shared" si="2"/>
        <v>SIM</v>
      </c>
      <c r="F43" s="20">
        <f t="shared" si="3"/>
        <v>28.694040000000001</v>
      </c>
    </row>
    <row r="44" spans="2:6">
      <c r="B44" s="6">
        <v>41308</v>
      </c>
      <c r="C44" s="14">
        <v>2032.97</v>
      </c>
      <c r="D44" s="5">
        <f t="shared" si="1"/>
        <v>24.39564</v>
      </c>
      <c r="E44" s="5" t="str">
        <f t="shared" si="2"/>
        <v>SIM</v>
      </c>
      <c r="F44" s="20">
        <f t="shared" si="3"/>
        <v>24.39564</v>
      </c>
    </row>
    <row r="45" spans="2:6">
      <c r="B45" s="6">
        <v>41309</v>
      </c>
      <c r="C45" s="14">
        <v>852.81</v>
      </c>
      <c r="D45" s="5">
        <f t="shared" si="1"/>
        <v>10.23372</v>
      </c>
      <c r="E45" s="5" t="str">
        <f t="shared" si="2"/>
        <v>SIM</v>
      </c>
      <c r="F45" s="20">
        <f t="shared" si="3"/>
        <v>10.23372</v>
      </c>
    </row>
    <row r="46" spans="2:6">
      <c r="B46" s="6">
        <v>41310</v>
      </c>
      <c r="C46" s="14">
        <v>1056.98</v>
      </c>
      <c r="D46" s="5">
        <f t="shared" si="1"/>
        <v>12.683760000000001</v>
      </c>
      <c r="E46" s="5" t="str">
        <f t="shared" si="2"/>
        <v>SIM</v>
      </c>
      <c r="F46" s="20">
        <f t="shared" si="3"/>
        <v>12.683760000000001</v>
      </c>
    </row>
    <row r="47" spans="2:6">
      <c r="B47" s="6">
        <v>41311</v>
      </c>
      <c r="C47" s="14">
        <v>1608.22</v>
      </c>
      <c r="D47" s="30">
        <f t="shared" si="1"/>
        <v>19.298640000000002</v>
      </c>
      <c r="E47" s="30" t="str">
        <f t="shared" si="2"/>
        <v>SIM</v>
      </c>
      <c r="F47" s="20">
        <f t="shared" si="3"/>
        <v>19.298640000000002</v>
      </c>
    </row>
    <row r="48" spans="2:6">
      <c r="B48" s="6">
        <v>41312</v>
      </c>
      <c r="C48" s="14">
        <v>1934.39</v>
      </c>
      <c r="D48" s="5">
        <f t="shared" si="1"/>
        <v>23.212680000000002</v>
      </c>
      <c r="E48" s="5" t="str">
        <f t="shared" si="2"/>
        <v>SIM</v>
      </c>
      <c r="F48" s="20">
        <f t="shared" si="3"/>
        <v>23.212680000000002</v>
      </c>
    </row>
    <row r="49" spans="2:6">
      <c r="B49" s="6">
        <v>41313</v>
      </c>
      <c r="C49" s="14">
        <v>3303.7</v>
      </c>
      <c r="D49" s="5">
        <f t="shared" si="1"/>
        <v>39.644399999999997</v>
      </c>
      <c r="E49" s="5" t="str">
        <f t="shared" si="2"/>
        <v>SIM</v>
      </c>
      <c r="F49" s="20">
        <f t="shared" si="3"/>
        <v>39.644399999999997</v>
      </c>
    </row>
    <row r="50" spans="2:6">
      <c r="B50" s="6">
        <v>41314</v>
      </c>
      <c r="C50" s="14">
        <v>705.84</v>
      </c>
      <c r="D50" s="5">
        <f t="shared" si="1"/>
        <v>8.4700800000000012</v>
      </c>
      <c r="E50" s="5" t="str">
        <f t="shared" si="2"/>
        <v>NÃO</v>
      </c>
      <c r="F50" s="20" t="str">
        <f t="shared" si="3"/>
        <v xml:space="preserve"> </v>
      </c>
    </row>
    <row r="51" spans="2:6">
      <c r="B51" s="6">
        <v>41315</v>
      </c>
      <c r="C51" s="14">
        <v>660.23</v>
      </c>
      <c r="D51" s="5">
        <f t="shared" si="1"/>
        <v>7.9227600000000002</v>
      </c>
      <c r="E51" s="5" t="str">
        <f t="shared" si="2"/>
        <v>NÃO</v>
      </c>
      <c r="F51" s="20" t="str">
        <f t="shared" si="3"/>
        <v xml:space="preserve"> </v>
      </c>
    </row>
    <row r="52" spans="2:6">
      <c r="B52" s="6">
        <v>41316</v>
      </c>
      <c r="C52" s="14">
        <v>613.65</v>
      </c>
      <c r="D52" s="5">
        <f t="shared" si="1"/>
        <v>7.3637999999999995</v>
      </c>
      <c r="E52" s="5" t="str">
        <f t="shared" si="2"/>
        <v>NÃO</v>
      </c>
      <c r="F52" s="20" t="str">
        <f t="shared" si="3"/>
        <v xml:space="preserve"> </v>
      </c>
    </row>
    <row r="53" spans="2:6">
      <c r="B53" s="6">
        <v>41317</v>
      </c>
      <c r="C53" s="14">
        <v>686.24</v>
      </c>
      <c r="D53" s="5">
        <f t="shared" si="1"/>
        <v>8.2348800000000004</v>
      </c>
      <c r="E53" s="5" t="str">
        <f t="shared" si="2"/>
        <v>NÃO</v>
      </c>
      <c r="F53" s="20" t="str">
        <f t="shared" si="3"/>
        <v xml:space="preserve"> </v>
      </c>
    </row>
    <row r="54" spans="2:6" ht="15" customHeight="1">
      <c r="B54" s="6">
        <v>41318</v>
      </c>
      <c r="C54" s="14">
        <v>469.95</v>
      </c>
      <c r="D54" s="5">
        <f t="shared" si="1"/>
        <v>5.6394000000000002</v>
      </c>
      <c r="E54" s="5" t="str">
        <f t="shared" si="2"/>
        <v>NÃO</v>
      </c>
      <c r="F54" s="20" t="str">
        <f t="shared" si="3"/>
        <v xml:space="preserve"> </v>
      </c>
    </row>
    <row r="55" spans="2:6" ht="15" customHeight="1">
      <c r="B55" s="6">
        <v>41319</v>
      </c>
      <c r="C55" s="33">
        <v>726.66</v>
      </c>
      <c r="D55" s="34">
        <f t="shared" si="1"/>
        <v>8.7199200000000001</v>
      </c>
      <c r="E55" s="34" t="str">
        <f t="shared" si="2"/>
        <v>NÃO</v>
      </c>
      <c r="F55" s="20" t="str">
        <f t="shared" si="3"/>
        <v xml:space="preserve"> </v>
      </c>
    </row>
    <row r="56" spans="2:6">
      <c r="B56" s="24">
        <v>41320</v>
      </c>
      <c r="C56" s="14">
        <v>620.32000000000005</v>
      </c>
      <c r="D56" s="30">
        <f t="shared" si="1"/>
        <v>7.4438400000000007</v>
      </c>
      <c r="E56" s="30" t="str">
        <f t="shared" si="2"/>
        <v>NÃO</v>
      </c>
      <c r="F56" s="27" t="str">
        <f t="shared" si="3"/>
        <v xml:space="preserve"> </v>
      </c>
    </row>
    <row r="57" spans="2:6">
      <c r="B57" s="24">
        <v>41321</v>
      </c>
      <c r="C57" s="33">
        <v>629.29</v>
      </c>
      <c r="D57" s="30">
        <f t="shared" si="1"/>
        <v>7.5514799999999997</v>
      </c>
      <c r="E57" s="30" t="str">
        <f t="shared" si="2"/>
        <v>NÃO</v>
      </c>
      <c r="F57" s="27" t="str">
        <f t="shared" si="3"/>
        <v xml:space="preserve"> </v>
      </c>
    </row>
    <row r="58" spans="2:6">
      <c r="B58" s="24">
        <v>41322</v>
      </c>
      <c r="C58" s="33">
        <v>587.08000000000004</v>
      </c>
      <c r="D58" s="30">
        <f t="shared" si="1"/>
        <v>7.0449600000000006</v>
      </c>
      <c r="E58" s="30" t="str">
        <f t="shared" si="2"/>
        <v>NÃO</v>
      </c>
      <c r="F58" s="27" t="str">
        <f t="shared" si="3"/>
        <v xml:space="preserve"> </v>
      </c>
    </row>
    <row r="59" spans="2:6">
      <c r="B59" s="24">
        <v>41323</v>
      </c>
      <c r="C59" s="33">
        <v>533.30999999999995</v>
      </c>
      <c r="D59" s="30">
        <f t="shared" si="1"/>
        <v>6.3997199999999994</v>
      </c>
      <c r="E59" s="30" t="str">
        <f t="shared" si="2"/>
        <v>NÃO</v>
      </c>
      <c r="F59" s="27" t="str">
        <f t="shared" si="3"/>
        <v xml:space="preserve"> </v>
      </c>
    </row>
    <row r="60" spans="2:6">
      <c r="B60" s="24">
        <v>41324</v>
      </c>
      <c r="C60" s="33">
        <v>596.38</v>
      </c>
      <c r="D60" s="17">
        <f t="shared" si="1"/>
        <v>7.1565599999999998</v>
      </c>
      <c r="E60" s="17" t="str">
        <f t="shared" si="2"/>
        <v>NÃO</v>
      </c>
      <c r="F60" s="27" t="str">
        <f t="shared" si="3"/>
        <v xml:space="preserve"> </v>
      </c>
    </row>
    <row r="61" spans="2:6">
      <c r="B61" s="24">
        <v>41325</v>
      </c>
      <c r="C61" s="33">
        <v>588.26</v>
      </c>
      <c r="D61" s="17">
        <f t="shared" si="1"/>
        <v>7.0591200000000001</v>
      </c>
      <c r="E61" s="17" t="str">
        <f t="shared" si="2"/>
        <v>NÃO</v>
      </c>
      <c r="F61" s="27" t="str">
        <f t="shared" si="3"/>
        <v xml:space="preserve"> </v>
      </c>
    </row>
    <row r="62" spans="2:6">
      <c r="B62" s="24">
        <v>41326</v>
      </c>
      <c r="C62" s="33">
        <v>533.04</v>
      </c>
      <c r="D62" s="17">
        <f t="shared" si="1"/>
        <v>6.3964799999999995</v>
      </c>
      <c r="E62" s="17" t="str">
        <f t="shared" si="2"/>
        <v>NÃO</v>
      </c>
      <c r="F62" s="27" t="str">
        <f t="shared" si="3"/>
        <v xml:space="preserve"> </v>
      </c>
    </row>
    <row r="63" spans="2:6">
      <c r="B63" s="24">
        <v>41327</v>
      </c>
      <c r="C63" s="33">
        <v>584.55999999999995</v>
      </c>
      <c r="D63" s="17">
        <f t="shared" si="1"/>
        <v>7.0147199999999996</v>
      </c>
      <c r="E63" s="17" t="str">
        <f t="shared" si="2"/>
        <v>NÃO</v>
      </c>
      <c r="F63" s="27" t="str">
        <f t="shared" si="3"/>
        <v xml:space="preserve"> </v>
      </c>
    </row>
    <row r="64" spans="2:6">
      <c r="B64" s="24">
        <v>41328</v>
      </c>
      <c r="C64" s="33">
        <v>605.63</v>
      </c>
      <c r="D64" s="17">
        <f t="shared" si="1"/>
        <v>7.2675600000000005</v>
      </c>
      <c r="E64" s="17" t="str">
        <f t="shared" si="2"/>
        <v>NÃO</v>
      </c>
      <c r="F64" s="27" t="str">
        <f t="shared" si="3"/>
        <v xml:space="preserve"> </v>
      </c>
    </row>
    <row r="65" spans="2:8">
      <c r="B65" s="24">
        <v>41329</v>
      </c>
      <c r="C65" s="33">
        <v>628.54</v>
      </c>
      <c r="D65" s="17">
        <f t="shared" si="1"/>
        <v>7.5424799999999994</v>
      </c>
      <c r="E65" s="17" t="str">
        <f t="shared" si="2"/>
        <v>NÃO</v>
      </c>
      <c r="F65" s="27" t="str">
        <f t="shared" si="3"/>
        <v xml:space="preserve"> </v>
      </c>
      <c r="H65" s="11"/>
    </row>
    <row r="66" spans="2:8">
      <c r="B66" s="24">
        <v>41330</v>
      </c>
      <c r="C66" s="33">
        <v>669.62</v>
      </c>
      <c r="D66" s="17">
        <f t="shared" si="1"/>
        <v>8.0354399999999995</v>
      </c>
      <c r="E66" s="17" t="str">
        <f t="shared" si="2"/>
        <v>NÃO</v>
      </c>
      <c r="F66" s="27" t="str">
        <f t="shared" si="3"/>
        <v xml:space="preserve"> </v>
      </c>
    </row>
    <row r="67" spans="2:8" ht="15.75" thickBot="1">
      <c r="B67" s="24">
        <v>41331</v>
      </c>
      <c r="C67" s="33">
        <v>290.25</v>
      </c>
      <c r="D67" s="17">
        <f t="shared" si="1"/>
        <v>3.4830000000000001</v>
      </c>
      <c r="E67" s="17" t="str">
        <f t="shared" si="2"/>
        <v>NÃO</v>
      </c>
      <c r="F67" s="27" t="str">
        <f t="shared" si="3"/>
        <v xml:space="preserve"> </v>
      </c>
    </row>
    <row r="68" spans="2:8" ht="15.75" thickBot="1">
      <c r="B68" s="9" t="s">
        <v>4</v>
      </c>
      <c r="C68" s="16">
        <f>SUM(C5:C67)</f>
        <v>90318.599999999977</v>
      </c>
      <c r="D68" s="10">
        <f>SUM(D5:D67)</f>
        <v>1083.8231999999996</v>
      </c>
      <c r="E68" s="9"/>
      <c r="F68" s="22">
        <f>SUM(F5:F67)</f>
        <v>898.98863999999958</v>
      </c>
    </row>
    <row r="69" spans="2:8">
      <c r="B69"/>
    </row>
    <row r="71" spans="2:8">
      <c r="B71"/>
    </row>
    <row r="72" spans="2:8">
      <c r="B72"/>
    </row>
    <row r="73" spans="2:8">
      <c r="B73"/>
    </row>
    <row r="74" spans="2:8">
      <c r="B74"/>
    </row>
    <row r="75" spans="2:8">
      <c r="B75"/>
    </row>
    <row r="76" spans="2:8">
      <c r="B76"/>
    </row>
    <row r="77" spans="2:8">
      <c r="B77"/>
      <c r="E77" s="11"/>
    </row>
    <row r="78" spans="2:8">
      <c r="B78"/>
    </row>
    <row r="79" spans="2:8">
      <c r="B79"/>
    </row>
    <row r="80" spans="2:8">
      <c r="B80"/>
    </row>
    <row r="81" spans="2:6">
      <c r="B81"/>
    </row>
    <row r="82" spans="2:6">
      <c r="B82"/>
    </row>
    <row r="83" spans="2:6">
      <c r="B83"/>
    </row>
    <row r="84" spans="2:6" s="11" customFormat="1">
      <c r="B84"/>
      <c r="D84"/>
      <c r="E84"/>
      <c r="F84" s="18"/>
    </row>
    <row r="85" spans="2:6" s="11" customFormat="1">
      <c r="B85"/>
      <c r="D85"/>
      <c r="E85"/>
      <c r="F85" s="18"/>
    </row>
    <row r="86" spans="2:6" s="11" customFormat="1">
      <c r="B86"/>
      <c r="D86"/>
      <c r="E86"/>
      <c r="F86" s="18"/>
    </row>
    <row r="87" spans="2:6" s="11" customFormat="1">
      <c r="B87"/>
      <c r="D87"/>
      <c r="E87"/>
      <c r="F87" s="18"/>
    </row>
    <row r="88" spans="2:6" s="11" customFormat="1">
      <c r="B88"/>
      <c r="D88"/>
      <c r="E88"/>
      <c r="F88" s="18"/>
    </row>
    <row r="89" spans="2:6" s="11" customFormat="1">
      <c r="B89"/>
      <c r="D89"/>
      <c r="E89"/>
      <c r="F89" s="18"/>
    </row>
  </sheetData>
  <mergeCells count="1">
    <mergeCell ref="B1:F1"/>
  </mergeCells>
  <conditionalFormatting sqref="E71:E1048576 E3:E69">
    <cfRule type="cellIs" dxfId="7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I45"/>
  <sheetViews>
    <sheetView workbookViewId="0">
      <pane ySplit="2" topLeftCell="A3" activePane="bottomLeft" state="frozen"/>
      <selection pane="bottomLeft" activeCell="G7" sqref="G7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15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29">
        <f t="shared" ref="F2" si="0">F24</f>
        <v>0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41754</v>
      </c>
      <c r="C5" s="13">
        <v>12.6</v>
      </c>
      <c r="D5" s="5">
        <f>C5*1.2%</f>
        <v>0.1512</v>
      </c>
      <c r="E5" s="5" t="str">
        <f>IF(D5&lt;=10,"NÃO","SIM")</f>
        <v>NÃO</v>
      </c>
      <c r="F5" s="19" t="str">
        <f>IF((D5)&lt;10," ",D5)</f>
        <v xml:space="preserve"> </v>
      </c>
    </row>
    <row r="6" spans="2:6">
      <c r="B6" s="6">
        <v>41755</v>
      </c>
      <c r="C6" s="14">
        <v>50.4</v>
      </c>
      <c r="D6" s="5">
        <f t="shared" ref="D6:D23" si="1">C6*1.2%</f>
        <v>0.6048</v>
      </c>
      <c r="E6" s="5" t="str">
        <f t="shared" ref="E6:E23" si="2">IF(D6&lt;=10,"NÃO","SIM")</f>
        <v>NÃO</v>
      </c>
      <c r="F6" s="20" t="str">
        <f t="shared" ref="F6:F23" si="3">IF((D6)&lt;10," ",D6)</f>
        <v xml:space="preserve"> </v>
      </c>
    </row>
    <row r="7" spans="2:6">
      <c r="B7" s="6">
        <v>41756</v>
      </c>
      <c r="C7" s="14">
        <v>30.24</v>
      </c>
      <c r="D7" s="5">
        <f t="shared" si="1"/>
        <v>0.36287999999999998</v>
      </c>
      <c r="E7" s="5" t="str">
        <f t="shared" si="2"/>
        <v>NÃO</v>
      </c>
      <c r="F7" s="19" t="str">
        <f t="shared" si="3"/>
        <v xml:space="preserve"> </v>
      </c>
    </row>
    <row r="8" spans="2:6">
      <c r="B8" s="6">
        <v>41757</v>
      </c>
      <c r="C8" s="14">
        <v>50.4</v>
      </c>
      <c r="D8" s="5">
        <f t="shared" si="1"/>
        <v>0.6048</v>
      </c>
      <c r="E8" s="5" t="str">
        <f t="shared" si="2"/>
        <v>NÃO</v>
      </c>
      <c r="F8" s="20" t="str">
        <f t="shared" si="3"/>
        <v xml:space="preserve"> </v>
      </c>
    </row>
    <row r="9" spans="2:6">
      <c r="B9" s="6">
        <v>41758</v>
      </c>
      <c r="C9" s="14">
        <v>15.12</v>
      </c>
      <c r="D9" s="5">
        <f t="shared" si="1"/>
        <v>0.18143999999999999</v>
      </c>
      <c r="E9" s="5" t="str">
        <f t="shared" si="2"/>
        <v>NÃO</v>
      </c>
      <c r="F9" s="19" t="str">
        <f t="shared" si="3"/>
        <v xml:space="preserve"> </v>
      </c>
    </row>
    <row r="10" spans="2:6">
      <c r="B10" s="6">
        <v>41759</v>
      </c>
      <c r="C10" s="14">
        <v>25.2</v>
      </c>
      <c r="D10" s="5">
        <f t="shared" si="1"/>
        <v>0.3024</v>
      </c>
      <c r="E10" s="5" t="str">
        <f t="shared" si="2"/>
        <v>NÃO</v>
      </c>
      <c r="F10" s="20" t="str">
        <f t="shared" si="3"/>
        <v xml:space="preserve"> </v>
      </c>
    </row>
    <row r="11" spans="2:6">
      <c r="B11" s="6">
        <v>41760</v>
      </c>
      <c r="C11" s="14">
        <v>25.2</v>
      </c>
      <c r="D11" s="5">
        <f t="shared" si="1"/>
        <v>0.3024</v>
      </c>
      <c r="E11" s="5" t="str">
        <f t="shared" si="2"/>
        <v>NÃO</v>
      </c>
      <c r="F11" s="19" t="str">
        <f t="shared" si="3"/>
        <v xml:space="preserve"> </v>
      </c>
    </row>
    <row r="12" spans="2:6">
      <c r="B12" s="6">
        <v>41761</v>
      </c>
      <c r="C12" s="14">
        <v>12.6</v>
      </c>
      <c r="D12" s="5">
        <f t="shared" si="1"/>
        <v>0.1512</v>
      </c>
      <c r="E12" s="5" t="str">
        <f t="shared" si="2"/>
        <v>NÃO</v>
      </c>
      <c r="F12" s="19" t="str">
        <f t="shared" si="3"/>
        <v xml:space="preserve"> </v>
      </c>
    </row>
    <row r="13" spans="2:6">
      <c r="B13" s="6">
        <v>41762</v>
      </c>
      <c r="C13" s="14">
        <v>10.08</v>
      </c>
      <c r="D13" s="5">
        <f t="shared" si="1"/>
        <v>0.12096</v>
      </c>
      <c r="E13" s="5" t="str">
        <f t="shared" si="2"/>
        <v>NÃO</v>
      </c>
      <c r="F13" s="19" t="str">
        <f t="shared" si="3"/>
        <v xml:space="preserve"> </v>
      </c>
    </row>
    <row r="14" spans="2:6">
      <c r="B14" s="6">
        <v>41763</v>
      </c>
      <c r="C14" s="14">
        <v>37.799999999999997</v>
      </c>
      <c r="D14" s="5">
        <f t="shared" si="1"/>
        <v>0.45359999999999995</v>
      </c>
      <c r="E14" s="5" t="str">
        <f t="shared" si="2"/>
        <v>NÃO</v>
      </c>
      <c r="F14" s="20" t="str">
        <f t="shared" si="3"/>
        <v xml:space="preserve"> </v>
      </c>
    </row>
    <row r="15" spans="2:6">
      <c r="B15" s="6">
        <v>41764</v>
      </c>
      <c r="C15" s="14">
        <v>25.2</v>
      </c>
      <c r="D15" s="5">
        <f t="shared" si="1"/>
        <v>0.3024</v>
      </c>
      <c r="E15" s="5" t="str">
        <f t="shared" si="2"/>
        <v>NÃO</v>
      </c>
      <c r="F15" s="20" t="str">
        <f t="shared" si="3"/>
        <v xml:space="preserve"> </v>
      </c>
    </row>
    <row r="16" spans="2:6">
      <c r="B16" s="6">
        <v>41765</v>
      </c>
      <c r="C16" s="14">
        <v>7.56</v>
      </c>
      <c r="D16" s="5">
        <f t="shared" si="1"/>
        <v>9.0719999999999995E-2</v>
      </c>
      <c r="E16" s="5" t="str">
        <f t="shared" si="2"/>
        <v>NÃO</v>
      </c>
      <c r="F16" s="20" t="str">
        <f t="shared" si="3"/>
        <v xml:space="preserve"> </v>
      </c>
    </row>
    <row r="17" spans="2:9">
      <c r="B17" s="6">
        <v>41766</v>
      </c>
      <c r="C17" s="14">
        <v>2.52</v>
      </c>
      <c r="D17" s="5">
        <f t="shared" si="1"/>
        <v>3.024E-2</v>
      </c>
      <c r="E17" s="5" t="str">
        <f t="shared" si="2"/>
        <v>NÃO</v>
      </c>
      <c r="F17" s="20" t="str">
        <f t="shared" si="3"/>
        <v xml:space="preserve"> </v>
      </c>
    </row>
    <row r="18" spans="2:9">
      <c r="B18" s="6">
        <v>41767</v>
      </c>
      <c r="C18" s="14">
        <v>25.2</v>
      </c>
      <c r="D18" s="5">
        <f t="shared" si="1"/>
        <v>0.3024</v>
      </c>
      <c r="E18" s="5" t="str">
        <f t="shared" si="2"/>
        <v>NÃO</v>
      </c>
      <c r="F18" s="20" t="str">
        <f t="shared" si="3"/>
        <v xml:space="preserve"> </v>
      </c>
    </row>
    <row r="19" spans="2:9">
      <c r="B19" s="6">
        <v>41768</v>
      </c>
      <c r="C19" s="14">
        <v>37.799999999999997</v>
      </c>
      <c r="D19" s="5">
        <f t="shared" si="1"/>
        <v>0.45359999999999995</v>
      </c>
      <c r="E19" s="5" t="str">
        <f t="shared" si="2"/>
        <v>NÃO</v>
      </c>
      <c r="F19" s="20" t="str">
        <f t="shared" si="3"/>
        <v xml:space="preserve"> </v>
      </c>
    </row>
    <row r="20" spans="2:9">
      <c r="B20" s="6">
        <v>41769</v>
      </c>
      <c r="C20" s="14">
        <v>25.2</v>
      </c>
      <c r="D20" s="5">
        <f t="shared" si="1"/>
        <v>0.3024</v>
      </c>
      <c r="E20" s="5" t="str">
        <f t="shared" si="2"/>
        <v>NÃO</v>
      </c>
      <c r="F20" s="20" t="str">
        <f t="shared" si="3"/>
        <v xml:space="preserve"> </v>
      </c>
      <c r="I20" s="11"/>
    </row>
    <row r="21" spans="2:9">
      <c r="B21" s="6">
        <v>41770</v>
      </c>
      <c r="C21" s="14">
        <v>10.08</v>
      </c>
      <c r="D21" s="5">
        <f t="shared" si="1"/>
        <v>0.12096</v>
      </c>
      <c r="E21" s="5" t="str">
        <f t="shared" si="2"/>
        <v>NÃO</v>
      </c>
      <c r="F21" s="20" t="str">
        <f t="shared" si="3"/>
        <v xml:space="preserve"> </v>
      </c>
    </row>
    <row r="22" spans="2:9">
      <c r="B22" s="6">
        <v>41771</v>
      </c>
      <c r="C22" s="14">
        <v>37.799999999999997</v>
      </c>
      <c r="D22" s="5">
        <f t="shared" si="1"/>
        <v>0.45359999999999995</v>
      </c>
      <c r="E22" s="5" t="str">
        <f t="shared" si="2"/>
        <v>NÃO</v>
      </c>
      <c r="F22" s="20" t="str">
        <f t="shared" si="3"/>
        <v xml:space="preserve"> </v>
      </c>
    </row>
    <row r="23" spans="2:9" ht="15.75" thickBot="1">
      <c r="B23" s="6">
        <v>41772</v>
      </c>
      <c r="C23" s="14">
        <v>5.04</v>
      </c>
      <c r="D23" s="5">
        <f t="shared" si="1"/>
        <v>6.0479999999999999E-2</v>
      </c>
      <c r="E23" s="5" t="str">
        <f t="shared" si="2"/>
        <v>NÃO</v>
      </c>
      <c r="F23" s="20" t="str">
        <f t="shared" si="3"/>
        <v xml:space="preserve"> </v>
      </c>
    </row>
    <row r="24" spans="2:9" ht="15.75" thickBot="1">
      <c r="B24" s="9" t="s">
        <v>4</v>
      </c>
      <c r="C24" s="16">
        <f>SUM(C5:C23)</f>
        <v>446.03999999999996</v>
      </c>
      <c r="D24" s="10">
        <f>SUM(D5:D23)</f>
        <v>5.3524799999999999</v>
      </c>
      <c r="E24" s="9"/>
      <c r="F24" s="22">
        <f>SUM(F5:F23)</f>
        <v>0</v>
      </c>
    </row>
    <row r="25" spans="2:9">
      <c r="B25"/>
    </row>
    <row r="27" spans="2:9">
      <c r="B27"/>
    </row>
    <row r="28" spans="2:9">
      <c r="B28"/>
    </row>
    <row r="29" spans="2:9">
      <c r="B29"/>
    </row>
    <row r="30" spans="2:9">
      <c r="B30"/>
    </row>
    <row r="31" spans="2:9">
      <c r="B31"/>
    </row>
    <row r="32" spans="2:9">
      <c r="B32"/>
    </row>
    <row r="33" spans="2:6">
      <c r="B33"/>
    </row>
    <row r="34" spans="2:6">
      <c r="B34"/>
    </row>
    <row r="35" spans="2:6">
      <c r="B35"/>
    </row>
    <row r="36" spans="2:6">
      <c r="B36"/>
    </row>
    <row r="37" spans="2:6">
      <c r="B37"/>
    </row>
    <row r="38" spans="2:6">
      <c r="B38"/>
    </row>
    <row r="39" spans="2:6">
      <c r="B39"/>
    </row>
    <row r="40" spans="2:6" s="11" customFormat="1">
      <c r="B40"/>
      <c r="D40"/>
      <c r="E40"/>
      <c r="F40" s="18"/>
    </row>
    <row r="41" spans="2:6" s="11" customFormat="1">
      <c r="B41"/>
      <c r="D41"/>
      <c r="E41"/>
      <c r="F41" s="18"/>
    </row>
    <row r="42" spans="2:6" s="11" customFormat="1">
      <c r="B42"/>
      <c r="D42"/>
      <c r="E42"/>
      <c r="F42" s="18"/>
    </row>
    <row r="43" spans="2:6" s="11" customFormat="1">
      <c r="B43"/>
      <c r="D43"/>
      <c r="E43"/>
      <c r="F43" s="18"/>
    </row>
    <row r="44" spans="2:6" s="11" customFormat="1">
      <c r="B44"/>
      <c r="D44"/>
      <c r="E44"/>
      <c r="F44" s="18"/>
    </row>
    <row r="45" spans="2:6" s="11" customFormat="1">
      <c r="B45"/>
      <c r="D45"/>
      <c r="E45"/>
      <c r="F45" s="18"/>
    </row>
  </sheetData>
  <mergeCells count="1">
    <mergeCell ref="B1:F1"/>
  </mergeCells>
  <conditionalFormatting sqref="E27:E1048576 E3:E25">
    <cfRule type="cellIs" dxfId="6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F84"/>
  <sheetViews>
    <sheetView workbookViewId="0">
      <pane ySplit="2" topLeftCell="A3" activePane="bottomLeft" state="frozen"/>
      <selection pane="bottomLeft" activeCell="J20" sqref="J20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12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38">
        <f>F63</f>
        <v>1105.2198000000003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41364</v>
      </c>
      <c r="C5" s="13">
        <v>5241.3999999999996</v>
      </c>
      <c r="D5" s="5">
        <f>C5*1.2%</f>
        <v>62.896799999999999</v>
      </c>
      <c r="E5" s="5" t="str">
        <f>IF(D5&lt;=10,"NÃO","SIM")</f>
        <v>SIM</v>
      </c>
      <c r="F5" s="19">
        <f>IF((D5)&lt;10," ",D5)</f>
        <v>62.896799999999999</v>
      </c>
    </row>
    <row r="6" spans="2:6">
      <c r="B6" s="6">
        <v>41365</v>
      </c>
      <c r="C6" s="14">
        <v>749.5</v>
      </c>
      <c r="D6" s="5">
        <f t="shared" ref="D6:D62" si="0">C6*1.2%</f>
        <v>8.9939999999999998</v>
      </c>
      <c r="E6" s="5" t="str">
        <f t="shared" ref="E6:E62" si="1">IF(D6&lt;=10,"NÃO","SIM")</f>
        <v>NÃO</v>
      </c>
      <c r="F6" s="20" t="str">
        <f t="shared" ref="F6:F62" si="2">IF((D6)&lt;10," ",D6)</f>
        <v xml:space="preserve"> </v>
      </c>
    </row>
    <row r="7" spans="2:6">
      <c r="B7" s="6">
        <v>41366</v>
      </c>
      <c r="C7" s="14">
        <v>554.63</v>
      </c>
      <c r="D7" s="5">
        <f t="shared" si="0"/>
        <v>6.6555600000000004</v>
      </c>
      <c r="E7" s="5" t="str">
        <f t="shared" si="1"/>
        <v>NÃO</v>
      </c>
      <c r="F7" s="19" t="str">
        <f t="shared" si="2"/>
        <v xml:space="preserve"> </v>
      </c>
    </row>
    <row r="8" spans="2:6">
      <c r="B8" s="4">
        <v>41367</v>
      </c>
      <c r="C8" s="14">
        <v>819.7</v>
      </c>
      <c r="D8" s="5">
        <f t="shared" si="0"/>
        <v>9.8364000000000011</v>
      </c>
      <c r="E8" s="5" t="str">
        <f t="shared" si="1"/>
        <v>NÃO</v>
      </c>
      <c r="F8" s="20" t="str">
        <f t="shared" si="2"/>
        <v xml:space="preserve"> </v>
      </c>
    </row>
    <row r="9" spans="2:6">
      <c r="B9" s="6">
        <v>41368</v>
      </c>
      <c r="C9" s="14">
        <v>3466</v>
      </c>
      <c r="D9" s="5">
        <f t="shared" si="0"/>
        <v>41.591999999999999</v>
      </c>
      <c r="E9" s="5" t="str">
        <f t="shared" si="1"/>
        <v>SIM</v>
      </c>
      <c r="F9" s="19">
        <f t="shared" si="2"/>
        <v>41.591999999999999</v>
      </c>
    </row>
    <row r="10" spans="2:6">
      <c r="B10" s="6">
        <v>41369</v>
      </c>
      <c r="C10" s="14">
        <v>1213.0999999999999</v>
      </c>
      <c r="D10" s="5">
        <f t="shared" si="0"/>
        <v>14.5572</v>
      </c>
      <c r="E10" s="5" t="str">
        <f t="shared" si="1"/>
        <v>SIM</v>
      </c>
      <c r="F10" s="20">
        <f t="shared" si="2"/>
        <v>14.5572</v>
      </c>
    </row>
    <row r="11" spans="2:6">
      <c r="B11" s="4">
        <v>41370</v>
      </c>
      <c r="C11" s="14">
        <v>3452.1</v>
      </c>
      <c r="D11" s="5">
        <f t="shared" si="0"/>
        <v>41.425199999999997</v>
      </c>
      <c r="E11" s="5" t="str">
        <f t="shared" si="1"/>
        <v>SIM</v>
      </c>
      <c r="F11" s="19">
        <f t="shared" si="2"/>
        <v>41.425199999999997</v>
      </c>
    </row>
    <row r="12" spans="2:6">
      <c r="B12" s="6">
        <v>41371</v>
      </c>
      <c r="C12" s="14">
        <v>3256.28</v>
      </c>
      <c r="D12" s="5">
        <f t="shared" si="0"/>
        <v>39.075360000000003</v>
      </c>
      <c r="E12" s="5" t="str">
        <f t="shared" si="1"/>
        <v>SIM</v>
      </c>
      <c r="F12" s="19">
        <f t="shared" si="2"/>
        <v>39.075360000000003</v>
      </c>
    </row>
    <row r="13" spans="2:6">
      <c r="B13" s="6">
        <v>41372</v>
      </c>
      <c r="C13" s="14">
        <v>2599.5</v>
      </c>
      <c r="D13" s="5">
        <f t="shared" si="0"/>
        <v>31.193999999999999</v>
      </c>
      <c r="E13" s="5" t="str">
        <f t="shared" si="1"/>
        <v>SIM</v>
      </c>
      <c r="F13" s="19">
        <f t="shared" si="2"/>
        <v>31.193999999999999</v>
      </c>
    </row>
    <row r="14" spans="2:6">
      <c r="B14" s="4">
        <v>41373</v>
      </c>
      <c r="C14" s="14">
        <v>887.63</v>
      </c>
      <c r="D14" s="5">
        <f t="shared" si="0"/>
        <v>10.65156</v>
      </c>
      <c r="E14" s="5" t="str">
        <f t="shared" si="1"/>
        <v>SIM</v>
      </c>
      <c r="F14" s="20">
        <f t="shared" si="2"/>
        <v>10.65156</v>
      </c>
    </row>
    <row r="15" spans="2:6">
      <c r="B15" s="6">
        <v>41374</v>
      </c>
      <c r="C15" s="14">
        <v>1414.55</v>
      </c>
      <c r="D15" s="5">
        <f t="shared" si="0"/>
        <v>16.974599999999999</v>
      </c>
      <c r="E15" s="5" t="str">
        <f t="shared" si="1"/>
        <v>SIM</v>
      </c>
      <c r="F15" s="20">
        <f t="shared" si="2"/>
        <v>16.974599999999999</v>
      </c>
    </row>
    <row r="16" spans="2:6">
      <c r="B16" s="6">
        <v>41375</v>
      </c>
      <c r="C16" s="14">
        <v>3625.4</v>
      </c>
      <c r="D16" s="5">
        <f t="shared" si="0"/>
        <v>43.504800000000003</v>
      </c>
      <c r="E16" s="5" t="str">
        <f t="shared" si="1"/>
        <v>SIM</v>
      </c>
      <c r="F16" s="20">
        <f t="shared" si="2"/>
        <v>43.504800000000003</v>
      </c>
    </row>
    <row r="17" spans="2:6">
      <c r="B17" s="4">
        <v>41376</v>
      </c>
      <c r="C17" s="14">
        <v>2079.6</v>
      </c>
      <c r="D17" s="5">
        <f t="shared" si="0"/>
        <v>24.955199999999998</v>
      </c>
      <c r="E17" s="5" t="str">
        <f t="shared" si="1"/>
        <v>SIM</v>
      </c>
      <c r="F17" s="20">
        <f t="shared" si="2"/>
        <v>24.955199999999998</v>
      </c>
    </row>
    <row r="18" spans="2:6">
      <c r="B18" s="6">
        <v>41377</v>
      </c>
      <c r="C18" s="14">
        <v>2782.3</v>
      </c>
      <c r="D18" s="5">
        <f t="shared" si="0"/>
        <v>33.387600000000006</v>
      </c>
      <c r="E18" s="5" t="str">
        <f t="shared" si="1"/>
        <v>SIM</v>
      </c>
      <c r="F18" s="20">
        <f t="shared" si="2"/>
        <v>33.387600000000006</v>
      </c>
    </row>
    <row r="19" spans="2:6">
      <c r="B19" s="6">
        <v>41378</v>
      </c>
      <c r="C19" s="14">
        <v>2285.8000000000002</v>
      </c>
      <c r="D19" s="5">
        <f t="shared" si="0"/>
        <v>27.429600000000004</v>
      </c>
      <c r="E19" s="5" t="str">
        <f t="shared" si="1"/>
        <v>SIM</v>
      </c>
      <c r="F19" s="20">
        <f t="shared" si="2"/>
        <v>27.429600000000004</v>
      </c>
    </row>
    <row r="20" spans="2:6">
      <c r="B20" s="4">
        <v>41379</v>
      </c>
      <c r="C20" s="14">
        <v>929.31</v>
      </c>
      <c r="D20" s="5">
        <f t="shared" si="0"/>
        <v>11.151719999999999</v>
      </c>
      <c r="E20" s="5" t="str">
        <f t="shared" si="1"/>
        <v>SIM</v>
      </c>
      <c r="F20" s="20">
        <f t="shared" si="2"/>
        <v>11.151719999999999</v>
      </c>
    </row>
    <row r="21" spans="2:6">
      <c r="B21" s="6">
        <v>41380</v>
      </c>
      <c r="C21" s="14">
        <v>1386.4</v>
      </c>
      <c r="D21" s="5">
        <f t="shared" si="0"/>
        <v>16.636800000000001</v>
      </c>
      <c r="E21" s="5" t="str">
        <f t="shared" si="1"/>
        <v>SIM</v>
      </c>
      <c r="F21" s="20">
        <f t="shared" si="2"/>
        <v>16.636800000000001</v>
      </c>
    </row>
    <row r="22" spans="2:6">
      <c r="B22" s="6">
        <v>41381</v>
      </c>
      <c r="C22" s="14">
        <v>3775.3</v>
      </c>
      <c r="D22" s="5">
        <f t="shared" si="0"/>
        <v>45.303600000000003</v>
      </c>
      <c r="E22" s="5" t="str">
        <f t="shared" si="1"/>
        <v>SIM</v>
      </c>
      <c r="F22" s="20">
        <f t="shared" si="2"/>
        <v>45.303600000000003</v>
      </c>
    </row>
    <row r="23" spans="2:6">
      <c r="B23" s="4">
        <v>41382</v>
      </c>
      <c r="C23" s="14">
        <v>1044.55</v>
      </c>
      <c r="D23" s="5">
        <f t="shared" si="0"/>
        <v>12.534599999999999</v>
      </c>
      <c r="E23" s="5" t="str">
        <f t="shared" si="1"/>
        <v>SIM</v>
      </c>
      <c r="F23" s="20">
        <f t="shared" si="2"/>
        <v>12.534599999999999</v>
      </c>
    </row>
    <row r="24" spans="2:6">
      <c r="B24" s="6">
        <v>41383</v>
      </c>
      <c r="C24" s="14">
        <v>2135.9</v>
      </c>
      <c r="D24" s="5">
        <f t="shared" si="0"/>
        <v>25.630800000000001</v>
      </c>
      <c r="E24" s="5" t="str">
        <f t="shared" si="1"/>
        <v>SIM</v>
      </c>
      <c r="F24" s="20">
        <f t="shared" si="2"/>
        <v>25.630800000000001</v>
      </c>
    </row>
    <row r="25" spans="2:6">
      <c r="B25" s="6">
        <v>41384</v>
      </c>
      <c r="C25" s="14">
        <v>353.18</v>
      </c>
      <c r="D25" s="5">
        <f t="shared" si="0"/>
        <v>4.2381600000000006</v>
      </c>
      <c r="E25" s="5" t="str">
        <f t="shared" si="1"/>
        <v>NÃO</v>
      </c>
      <c r="F25" s="20" t="str">
        <f t="shared" si="2"/>
        <v xml:space="preserve"> </v>
      </c>
    </row>
    <row r="26" spans="2:6">
      <c r="B26" s="4">
        <v>41385</v>
      </c>
      <c r="C26" s="14">
        <v>3082.1</v>
      </c>
      <c r="D26" s="5">
        <f t="shared" si="0"/>
        <v>36.985199999999999</v>
      </c>
      <c r="E26" s="5" t="str">
        <f t="shared" si="1"/>
        <v>SIM</v>
      </c>
      <c r="F26" s="20">
        <f t="shared" si="2"/>
        <v>36.985199999999999</v>
      </c>
    </row>
    <row r="27" spans="2:6">
      <c r="B27" s="6">
        <v>41386</v>
      </c>
      <c r="C27" s="14">
        <v>1564.45</v>
      </c>
      <c r="D27" s="5">
        <f t="shared" si="0"/>
        <v>18.773400000000002</v>
      </c>
      <c r="E27" s="5" t="str">
        <f t="shared" si="1"/>
        <v>SIM</v>
      </c>
      <c r="F27" s="20">
        <f t="shared" si="2"/>
        <v>18.773400000000002</v>
      </c>
    </row>
    <row r="28" spans="2:6">
      <c r="B28" s="6">
        <v>41387</v>
      </c>
      <c r="C28" s="14">
        <v>2252.9</v>
      </c>
      <c r="D28" s="5">
        <f t="shared" si="0"/>
        <v>27.034800000000001</v>
      </c>
      <c r="E28" s="5" t="str">
        <f t="shared" si="1"/>
        <v>SIM</v>
      </c>
      <c r="F28" s="20">
        <f t="shared" si="2"/>
        <v>27.034800000000001</v>
      </c>
    </row>
    <row r="29" spans="2:6">
      <c r="B29" s="4">
        <v>41388</v>
      </c>
      <c r="C29" s="14">
        <v>2772.8</v>
      </c>
      <c r="D29" s="5">
        <f t="shared" si="0"/>
        <v>33.273600000000002</v>
      </c>
      <c r="E29" s="5" t="str">
        <f t="shared" si="1"/>
        <v>SIM</v>
      </c>
      <c r="F29" s="20">
        <f t="shared" si="2"/>
        <v>33.273600000000002</v>
      </c>
    </row>
    <row r="30" spans="2:6">
      <c r="B30" s="6">
        <v>41389</v>
      </c>
      <c r="C30" s="14">
        <v>3972</v>
      </c>
      <c r="D30" s="5">
        <f t="shared" si="0"/>
        <v>47.664000000000001</v>
      </c>
      <c r="E30" s="5" t="str">
        <f t="shared" si="1"/>
        <v>SIM</v>
      </c>
      <c r="F30" s="20">
        <f t="shared" si="2"/>
        <v>47.664000000000001</v>
      </c>
    </row>
    <row r="31" spans="2:6">
      <c r="B31" s="6">
        <v>41390</v>
      </c>
      <c r="C31" s="14">
        <v>3639.3</v>
      </c>
      <c r="D31" s="5">
        <f t="shared" si="0"/>
        <v>43.671600000000005</v>
      </c>
      <c r="E31" s="5" t="str">
        <f t="shared" si="1"/>
        <v>SIM</v>
      </c>
      <c r="F31" s="20">
        <f t="shared" si="2"/>
        <v>43.671600000000005</v>
      </c>
    </row>
    <row r="32" spans="2:6">
      <c r="B32" s="4">
        <v>41391</v>
      </c>
      <c r="C32" s="14">
        <v>1213.0999999999999</v>
      </c>
      <c r="D32" s="5">
        <f t="shared" si="0"/>
        <v>14.5572</v>
      </c>
      <c r="E32" s="5" t="str">
        <f t="shared" si="1"/>
        <v>SIM</v>
      </c>
      <c r="F32" s="20">
        <f t="shared" si="2"/>
        <v>14.5572</v>
      </c>
    </row>
    <row r="33" spans="2:6">
      <c r="B33" s="6">
        <v>41392</v>
      </c>
      <c r="C33" s="14">
        <v>3278.8</v>
      </c>
      <c r="D33" s="5">
        <f t="shared" si="0"/>
        <v>39.345600000000005</v>
      </c>
      <c r="E33" s="5" t="str">
        <f t="shared" si="1"/>
        <v>SIM</v>
      </c>
      <c r="F33" s="20">
        <f t="shared" si="2"/>
        <v>39.345600000000005</v>
      </c>
    </row>
    <row r="34" spans="2:6">
      <c r="B34" s="6">
        <v>41393</v>
      </c>
      <c r="C34" s="14">
        <v>1039.8</v>
      </c>
      <c r="D34" s="5">
        <f t="shared" si="0"/>
        <v>12.477599999999999</v>
      </c>
      <c r="E34" s="5" t="str">
        <f t="shared" si="1"/>
        <v>SIM</v>
      </c>
      <c r="F34" s="20">
        <f t="shared" si="2"/>
        <v>12.477599999999999</v>
      </c>
    </row>
    <row r="35" spans="2:6">
      <c r="B35" s="4">
        <v>41394</v>
      </c>
      <c r="C35" s="14">
        <v>3775.3</v>
      </c>
      <c r="D35" s="5">
        <f t="shared" si="0"/>
        <v>45.303600000000003</v>
      </c>
      <c r="E35" s="5" t="str">
        <f t="shared" si="1"/>
        <v>SIM</v>
      </c>
      <c r="F35" s="20">
        <f t="shared" si="2"/>
        <v>45.303600000000003</v>
      </c>
    </row>
    <row r="36" spans="2:6">
      <c r="B36" s="6">
        <v>41395</v>
      </c>
      <c r="C36" s="14">
        <v>601.42999999999995</v>
      </c>
      <c r="D36" s="5">
        <f t="shared" si="0"/>
        <v>7.2171599999999998</v>
      </c>
      <c r="E36" s="5" t="str">
        <f t="shared" si="1"/>
        <v>NÃO</v>
      </c>
      <c r="F36" s="20" t="str">
        <f t="shared" si="2"/>
        <v xml:space="preserve"> </v>
      </c>
    </row>
    <row r="37" spans="2:6">
      <c r="B37" s="6">
        <v>41396</v>
      </c>
      <c r="C37" s="14">
        <v>2112.5</v>
      </c>
      <c r="D37" s="5">
        <f t="shared" si="0"/>
        <v>25.35</v>
      </c>
      <c r="E37" s="5" t="str">
        <f t="shared" si="1"/>
        <v>SIM</v>
      </c>
      <c r="F37" s="20">
        <f t="shared" si="2"/>
        <v>25.35</v>
      </c>
    </row>
    <row r="38" spans="2:6">
      <c r="B38" s="4">
        <v>41397</v>
      </c>
      <c r="C38" s="14">
        <v>362.54</v>
      </c>
      <c r="D38" s="5">
        <f t="shared" si="0"/>
        <v>4.3504800000000001</v>
      </c>
      <c r="E38" s="5" t="str">
        <f t="shared" si="1"/>
        <v>NÃO</v>
      </c>
      <c r="F38" s="20" t="str">
        <f t="shared" si="2"/>
        <v xml:space="preserve"> </v>
      </c>
    </row>
    <row r="39" spans="2:6">
      <c r="B39" s="6">
        <v>41398</v>
      </c>
      <c r="C39" s="14">
        <v>2979</v>
      </c>
      <c r="D39" s="5">
        <f t="shared" si="0"/>
        <v>35.747999999999998</v>
      </c>
      <c r="E39" s="5" t="str">
        <f t="shared" si="1"/>
        <v>SIM</v>
      </c>
      <c r="F39" s="20">
        <f t="shared" si="2"/>
        <v>35.747999999999998</v>
      </c>
    </row>
    <row r="40" spans="2:6">
      <c r="B40" s="6">
        <v>41399</v>
      </c>
      <c r="C40" s="14">
        <v>2135.9</v>
      </c>
      <c r="D40" s="5">
        <f t="shared" si="0"/>
        <v>25.630800000000001</v>
      </c>
      <c r="E40" s="5" t="str">
        <f t="shared" si="1"/>
        <v>SIM</v>
      </c>
      <c r="F40" s="20">
        <f t="shared" si="2"/>
        <v>25.630800000000001</v>
      </c>
    </row>
    <row r="41" spans="2:6">
      <c r="B41" s="4">
        <v>41400</v>
      </c>
      <c r="C41" s="14">
        <v>3119.4</v>
      </c>
      <c r="D41" s="5">
        <f t="shared" si="0"/>
        <v>37.4328</v>
      </c>
      <c r="E41" s="5" t="str">
        <f t="shared" si="1"/>
        <v>SIM</v>
      </c>
      <c r="F41" s="20">
        <f t="shared" si="2"/>
        <v>37.4328</v>
      </c>
    </row>
    <row r="42" spans="2:6">
      <c r="B42" s="6">
        <v>41401</v>
      </c>
      <c r="C42" s="14">
        <v>2079.6</v>
      </c>
      <c r="D42" s="5">
        <f t="shared" si="0"/>
        <v>24.955199999999998</v>
      </c>
      <c r="E42" s="5" t="str">
        <f t="shared" si="1"/>
        <v>SIM</v>
      </c>
      <c r="F42" s="20">
        <f t="shared" si="2"/>
        <v>24.955199999999998</v>
      </c>
    </row>
    <row r="43" spans="2:6">
      <c r="B43" s="6">
        <v>41402</v>
      </c>
      <c r="C43" s="14">
        <v>1223.48</v>
      </c>
      <c r="D43" s="5">
        <f t="shared" si="0"/>
        <v>14.681760000000001</v>
      </c>
      <c r="E43" s="5" t="str">
        <f t="shared" si="1"/>
        <v>SIM</v>
      </c>
      <c r="F43" s="20">
        <f t="shared" si="2"/>
        <v>14.681760000000001</v>
      </c>
    </row>
    <row r="44" spans="2:6">
      <c r="B44" s="4">
        <v>41403</v>
      </c>
      <c r="C44" s="14">
        <v>866.5</v>
      </c>
      <c r="D44" s="5">
        <f t="shared" si="0"/>
        <v>10.398</v>
      </c>
      <c r="E44" s="5" t="str">
        <f t="shared" si="1"/>
        <v>SIM</v>
      </c>
      <c r="F44" s="20">
        <f t="shared" si="2"/>
        <v>10.398</v>
      </c>
    </row>
    <row r="45" spans="2:6">
      <c r="B45" s="6">
        <v>41404</v>
      </c>
      <c r="C45" s="14">
        <v>2285.8000000000002</v>
      </c>
      <c r="D45" s="5">
        <f t="shared" si="0"/>
        <v>27.429600000000004</v>
      </c>
      <c r="E45" s="5" t="str">
        <f t="shared" si="1"/>
        <v>SIM</v>
      </c>
      <c r="F45" s="20">
        <f t="shared" si="2"/>
        <v>27.429600000000004</v>
      </c>
    </row>
    <row r="46" spans="2:6">
      <c r="B46" s="6">
        <v>41405</v>
      </c>
      <c r="C46" s="14">
        <v>2332.6</v>
      </c>
      <c r="D46" s="5">
        <f t="shared" si="0"/>
        <v>27.991199999999999</v>
      </c>
      <c r="E46" s="5" t="str">
        <f t="shared" si="1"/>
        <v>SIM</v>
      </c>
      <c r="F46" s="20">
        <f t="shared" si="2"/>
        <v>27.991199999999999</v>
      </c>
    </row>
    <row r="47" spans="2:6">
      <c r="B47" s="4">
        <v>41406</v>
      </c>
      <c r="C47" s="14">
        <v>3002.4</v>
      </c>
      <c r="D47" s="30">
        <f t="shared" si="0"/>
        <v>36.028800000000004</v>
      </c>
      <c r="E47" s="30" t="str">
        <f t="shared" si="1"/>
        <v>SIM</v>
      </c>
      <c r="F47" s="20">
        <f t="shared" si="2"/>
        <v>36.028800000000004</v>
      </c>
    </row>
    <row r="48" spans="2:6">
      <c r="B48" s="6">
        <v>41407</v>
      </c>
      <c r="C48" s="14">
        <v>899.4</v>
      </c>
      <c r="D48" s="5">
        <f t="shared" si="0"/>
        <v>10.7928</v>
      </c>
      <c r="E48" s="5" t="str">
        <f t="shared" si="1"/>
        <v>SIM</v>
      </c>
      <c r="F48" s="20">
        <f t="shared" si="2"/>
        <v>10.7928</v>
      </c>
    </row>
    <row r="49" spans="2:6">
      <c r="B49" s="6">
        <v>41408</v>
      </c>
      <c r="C49" s="14">
        <v>269.82</v>
      </c>
      <c r="D49" s="5">
        <f t="shared" si="0"/>
        <v>3.2378399999999998</v>
      </c>
      <c r="E49" s="5" t="str">
        <f t="shared" si="1"/>
        <v>NÃO</v>
      </c>
      <c r="F49" s="20" t="str">
        <f t="shared" si="2"/>
        <v xml:space="preserve"> </v>
      </c>
    </row>
    <row r="50" spans="2:6">
      <c r="B50" s="4">
        <v>41409</v>
      </c>
      <c r="C50" s="14">
        <v>299.8</v>
      </c>
      <c r="D50" s="5">
        <f t="shared" si="0"/>
        <v>3.5976000000000004</v>
      </c>
      <c r="E50" s="5" t="str">
        <f t="shared" si="1"/>
        <v>NÃO</v>
      </c>
      <c r="F50" s="20" t="str">
        <f t="shared" si="2"/>
        <v xml:space="preserve"> </v>
      </c>
    </row>
    <row r="51" spans="2:6">
      <c r="B51" s="6">
        <v>41410</v>
      </c>
      <c r="C51" s="14">
        <v>899.4</v>
      </c>
      <c r="D51" s="5">
        <f t="shared" si="0"/>
        <v>10.7928</v>
      </c>
      <c r="E51" s="5" t="str">
        <f t="shared" si="1"/>
        <v>SIM</v>
      </c>
      <c r="F51" s="20">
        <f t="shared" si="2"/>
        <v>10.7928</v>
      </c>
    </row>
    <row r="52" spans="2:6">
      <c r="B52" s="6">
        <v>41411</v>
      </c>
      <c r="C52" s="14">
        <v>374.75</v>
      </c>
      <c r="D52" s="5">
        <f t="shared" si="0"/>
        <v>4.4969999999999999</v>
      </c>
      <c r="E52" s="5" t="str">
        <f t="shared" si="1"/>
        <v>NÃO</v>
      </c>
      <c r="F52" s="20" t="str">
        <f t="shared" si="2"/>
        <v xml:space="preserve"> </v>
      </c>
    </row>
    <row r="53" spans="2:6">
      <c r="B53" s="4">
        <v>41412</v>
      </c>
      <c r="C53" s="14">
        <v>374.75</v>
      </c>
      <c r="D53" s="5">
        <f t="shared" si="0"/>
        <v>4.4969999999999999</v>
      </c>
      <c r="E53" s="5" t="str">
        <f t="shared" si="1"/>
        <v>NÃO</v>
      </c>
      <c r="F53" s="20" t="str">
        <f t="shared" si="2"/>
        <v xml:space="preserve"> </v>
      </c>
    </row>
    <row r="54" spans="2:6" ht="15" customHeight="1">
      <c r="B54" s="6">
        <v>41413</v>
      </c>
      <c r="C54" s="14">
        <v>239.84</v>
      </c>
      <c r="D54" s="5">
        <f t="shared" si="0"/>
        <v>2.8780800000000002</v>
      </c>
      <c r="E54" s="5" t="str">
        <f t="shared" si="1"/>
        <v>NÃO</v>
      </c>
      <c r="F54" s="20" t="str">
        <f t="shared" si="2"/>
        <v xml:space="preserve"> </v>
      </c>
    </row>
    <row r="55" spans="2:6" ht="15" customHeight="1">
      <c r="B55" s="6">
        <v>41414</v>
      </c>
      <c r="C55" s="33">
        <v>449.7</v>
      </c>
      <c r="D55" s="34">
        <f t="shared" si="0"/>
        <v>5.3963999999999999</v>
      </c>
      <c r="E55" s="34" t="str">
        <f t="shared" si="1"/>
        <v>NÃO</v>
      </c>
      <c r="F55" s="20" t="str">
        <f t="shared" si="2"/>
        <v xml:space="preserve"> </v>
      </c>
    </row>
    <row r="56" spans="2:6">
      <c r="B56" s="4">
        <v>41415</v>
      </c>
      <c r="C56" s="14">
        <v>329.78</v>
      </c>
      <c r="D56" s="30">
        <f t="shared" si="0"/>
        <v>3.9573599999999995</v>
      </c>
      <c r="E56" s="30" t="str">
        <f t="shared" si="1"/>
        <v>NÃO</v>
      </c>
      <c r="F56" s="27" t="str">
        <f t="shared" si="2"/>
        <v xml:space="preserve"> </v>
      </c>
    </row>
    <row r="57" spans="2:6">
      <c r="B57" s="6">
        <v>41416</v>
      </c>
      <c r="C57" s="33">
        <v>239.84</v>
      </c>
      <c r="D57" s="30">
        <f t="shared" si="0"/>
        <v>2.8780800000000002</v>
      </c>
      <c r="E57" s="30" t="str">
        <f t="shared" si="1"/>
        <v>NÃO</v>
      </c>
      <c r="F57" s="27" t="str">
        <f t="shared" si="2"/>
        <v xml:space="preserve"> </v>
      </c>
    </row>
    <row r="58" spans="2:6">
      <c r="B58" s="6">
        <v>41417</v>
      </c>
      <c r="C58" s="33">
        <v>524.65</v>
      </c>
      <c r="D58" s="30">
        <f t="shared" si="0"/>
        <v>6.2957999999999998</v>
      </c>
      <c r="E58" s="30" t="str">
        <f t="shared" si="1"/>
        <v>NÃO</v>
      </c>
      <c r="F58" s="27" t="str">
        <f t="shared" si="2"/>
        <v xml:space="preserve"> </v>
      </c>
    </row>
    <row r="59" spans="2:6">
      <c r="B59" s="4">
        <v>41418</v>
      </c>
      <c r="C59" s="33">
        <v>524.65</v>
      </c>
      <c r="D59" s="30">
        <f t="shared" si="0"/>
        <v>6.2957999999999998</v>
      </c>
      <c r="E59" s="30" t="str">
        <f t="shared" si="1"/>
        <v>NÃO</v>
      </c>
      <c r="F59" s="27" t="str">
        <f t="shared" si="2"/>
        <v xml:space="preserve"> </v>
      </c>
    </row>
    <row r="60" spans="2:6">
      <c r="B60" s="6">
        <v>41419</v>
      </c>
      <c r="C60" s="33">
        <v>299.8</v>
      </c>
      <c r="D60" s="17">
        <f t="shared" si="0"/>
        <v>3.5976000000000004</v>
      </c>
      <c r="E60" s="17" t="str">
        <f t="shared" si="1"/>
        <v>NÃO</v>
      </c>
      <c r="F60" s="27" t="str">
        <f t="shared" si="2"/>
        <v xml:space="preserve"> </v>
      </c>
    </row>
    <row r="61" spans="2:6">
      <c r="B61" s="6">
        <v>41420</v>
      </c>
      <c r="C61" s="33">
        <v>374.75</v>
      </c>
      <c r="D61" s="17">
        <f t="shared" si="0"/>
        <v>4.4969999999999999</v>
      </c>
      <c r="E61" s="17" t="str">
        <f t="shared" si="1"/>
        <v>NÃO</v>
      </c>
      <c r="F61" s="27" t="str">
        <f t="shared" si="2"/>
        <v xml:space="preserve"> </v>
      </c>
    </row>
    <row r="62" spans="2:6" ht="15.75" thickBot="1">
      <c r="B62" s="4">
        <v>41421</v>
      </c>
      <c r="C62" s="33">
        <v>224.85</v>
      </c>
      <c r="D62" s="17">
        <f t="shared" si="0"/>
        <v>2.6981999999999999</v>
      </c>
      <c r="E62" s="17" t="str">
        <f t="shared" si="1"/>
        <v>NÃO</v>
      </c>
      <c r="F62" s="27" t="str">
        <f t="shared" si="2"/>
        <v xml:space="preserve"> </v>
      </c>
    </row>
    <row r="63" spans="2:6" ht="15.75" thickBot="1">
      <c r="B63" s="9" t="s">
        <v>4</v>
      </c>
      <c r="C63" s="16">
        <f>SUM(C5:C62)</f>
        <v>100069.60999999997</v>
      </c>
      <c r="D63" s="10">
        <f>SUM(D5:D62)</f>
        <v>1200.8353200000006</v>
      </c>
      <c r="E63" s="9"/>
      <c r="F63" s="22">
        <f>SUM(F5:F62)</f>
        <v>1105.2198000000003</v>
      </c>
    </row>
    <row r="64" spans="2:6">
      <c r="B64"/>
    </row>
    <row r="66" spans="2:6">
      <c r="B66"/>
    </row>
    <row r="67" spans="2:6">
      <c r="B67"/>
    </row>
    <row r="68" spans="2:6">
      <c r="B68"/>
    </row>
    <row r="69" spans="2:6">
      <c r="B69"/>
    </row>
    <row r="70" spans="2:6">
      <c r="B70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 s="11" customFormat="1">
      <c r="B79"/>
      <c r="D79"/>
      <c r="E79"/>
      <c r="F79" s="18"/>
    </row>
    <row r="80" spans="2:6" s="11" customFormat="1">
      <c r="B80"/>
      <c r="D80"/>
      <c r="E80"/>
      <c r="F80" s="18"/>
    </row>
    <row r="81" spans="2:6" s="11" customFormat="1">
      <c r="B81"/>
      <c r="D81"/>
      <c r="E81"/>
      <c r="F81" s="18"/>
    </row>
    <row r="82" spans="2:6" s="11" customFormat="1">
      <c r="B82"/>
      <c r="D82"/>
      <c r="E82"/>
      <c r="F82" s="18"/>
    </row>
    <row r="83" spans="2:6" s="11" customFormat="1">
      <c r="B83"/>
      <c r="D83"/>
      <c r="E83"/>
      <c r="F83" s="18"/>
    </row>
    <row r="84" spans="2:6" s="11" customFormat="1">
      <c r="B84"/>
      <c r="D84"/>
      <c r="E84"/>
      <c r="F84" s="18"/>
    </row>
  </sheetData>
  <mergeCells count="1">
    <mergeCell ref="B1:F1"/>
  </mergeCells>
  <conditionalFormatting sqref="E66:E1048576 E3:E64">
    <cfRule type="cellIs" dxfId="5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F89"/>
  <sheetViews>
    <sheetView workbookViewId="0">
      <pane ySplit="2" topLeftCell="A3" activePane="bottomLeft" state="frozen"/>
      <selection pane="bottomLeft" activeCell="L18" sqref="L18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13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38">
        <f>F68</f>
        <v>1048.8998400000003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41422</v>
      </c>
      <c r="C5" s="13">
        <v>4169.5</v>
      </c>
      <c r="D5" s="5">
        <f>C5*1.2%</f>
        <v>50.033999999999999</v>
      </c>
      <c r="E5" s="5" t="str">
        <f>IF(D5&lt;=10,"NÃO","SIM")</f>
        <v>SIM</v>
      </c>
      <c r="F5" s="19">
        <f>IF((D5)&lt;10," ",D5)</f>
        <v>50.033999999999999</v>
      </c>
    </row>
    <row r="6" spans="2:6">
      <c r="B6" s="6">
        <v>41485</v>
      </c>
      <c r="C6" s="14">
        <v>1845.95</v>
      </c>
      <c r="D6" s="5">
        <f t="shared" ref="D6:D67" si="0">C6*1.2%</f>
        <v>22.151400000000002</v>
      </c>
      <c r="E6" s="5" t="str">
        <f t="shared" ref="E6:E67" si="1">IF(D6&lt;=10,"NÃO","SIM")</f>
        <v>SIM</v>
      </c>
      <c r="F6" s="20">
        <f t="shared" ref="F6:F67" si="2">IF((D6)&lt;10," ",D6)</f>
        <v>22.151400000000002</v>
      </c>
    </row>
    <row r="7" spans="2:6">
      <c r="B7" s="6">
        <v>41424</v>
      </c>
      <c r="C7" s="14">
        <v>1562.03</v>
      </c>
      <c r="D7" s="5">
        <f t="shared" si="0"/>
        <v>18.74436</v>
      </c>
      <c r="E7" s="5" t="str">
        <f t="shared" si="1"/>
        <v>SIM</v>
      </c>
      <c r="F7" s="19">
        <f t="shared" si="2"/>
        <v>18.74436</v>
      </c>
    </row>
    <row r="8" spans="2:6">
      <c r="B8" s="4">
        <v>41425</v>
      </c>
      <c r="C8" s="14">
        <v>697.4</v>
      </c>
      <c r="D8" s="5">
        <f t="shared" si="0"/>
        <v>8.3688000000000002</v>
      </c>
      <c r="E8" s="5" t="str">
        <f t="shared" si="1"/>
        <v>NÃO</v>
      </c>
      <c r="F8" s="20" t="str">
        <f t="shared" si="2"/>
        <v xml:space="preserve"> </v>
      </c>
    </row>
    <row r="9" spans="2:6">
      <c r="B9" s="6">
        <v>41426</v>
      </c>
      <c r="C9" s="14">
        <v>3651.43</v>
      </c>
      <c r="D9" s="5">
        <f t="shared" si="0"/>
        <v>43.817160000000001</v>
      </c>
      <c r="E9" s="5" t="str">
        <f t="shared" si="1"/>
        <v>SIM</v>
      </c>
      <c r="F9" s="19">
        <f t="shared" si="2"/>
        <v>43.817160000000001</v>
      </c>
    </row>
    <row r="10" spans="2:6">
      <c r="B10" s="6">
        <v>41427</v>
      </c>
      <c r="C10" s="14">
        <v>1486.75</v>
      </c>
      <c r="D10" s="5">
        <f t="shared" si="0"/>
        <v>17.841000000000001</v>
      </c>
      <c r="E10" s="5" t="str">
        <f t="shared" si="1"/>
        <v>SIM</v>
      </c>
      <c r="F10" s="20">
        <f t="shared" si="2"/>
        <v>17.841000000000001</v>
      </c>
    </row>
    <row r="11" spans="2:6">
      <c r="B11" s="4">
        <v>41428</v>
      </c>
      <c r="C11" s="14">
        <v>2243.71</v>
      </c>
      <c r="D11" s="5">
        <f t="shared" si="0"/>
        <v>26.924520000000001</v>
      </c>
      <c r="E11" s="5" t="str">
        <f t="shared" si="1"/>
        <v>SIM</v>
      </c>
      <c r="F11" s="19">
        <f t="shared" si="2"/>
        <v>26.924520000000001</v>
      </c>
    </row>
    <row r="12" spans="2:6">
      <c r="B12" s="6">
        <v>41429</v>
      </c>
      <c r="C12" s="14">
        <v>2386.42</v>
      </c>
      <c r="D12" s="5">
        <f t="shared" si="0"/>
        <v>28.637040000000002</v>
      </c>
      <c r="E12" s="5" t="str">
        <f t="shared" si="1"/>
        <v>SIM</v>
      </c>
      <c r="F12" s="19">
        <f t="shared" si="2"/>
        <v>28.637040000000002</v>
      </c>
    </row>
    <row r="13" spans="2:6">
      <c r="B13" s="6">
        <v>41430</v>
      </c>
      <c r="C13" s="14">
        <v>1837.14</v>
      </c>
      <c r="D13" s="5">
        <f t="shared" si="0"/>
        <v>22.045680000000001</v>
      </c>
      <c r="E13" s="5" t="str">
        <f t="shared" si="1"/>
        <v>SIM</v>
      </c>
      <c r="F13" s="19">
        <f t="shared" si="2"/>
        <v>22.045680000000001</v>
      </c>
    </row>
    <row r="14" spans="2:6">
      <c r="B14" s="4">
        <v>41431</v>
      </c>
      <c r="C14" s="14">
        <v>386.04</v>
      </c>
      <c r="D14" s="5">
        <f t="shared" si="0"/>
        <v>4.6324800000000002</v>
      </c>
      <c r="E14" s="5" t="str">
        <f t="shared" si="1"/>
        <v>NÃO</v>
      </c>
      <c r="F14" s="20" t="str">
        <f t="shared" si="2"/>
        <v xml:space="preserve"> </v>
      </c>
    </row>
    <row r="15" spans="2:6">
      <c r="B15" s="6">
        <v>41432</v>
      </c>
      <c r="C15" s="14">
        <v>1269.57</v>
      </c>
      <c r="D15" s="5">
        <f t="shared" si="0"/>
        <v>15.23484</v>
      </c>
      <c r="E15" s="5" t="str">
        <f t="shared" si="1"/>
        <v>SIM</v>
      </c>
      <c r="F15" s="20">
        <f t="shared" si="2"/>
        <v>15.23484</v>
      </c>
    </row>
    <row r="16" spans="2:6">
      <c r="B16" s="6">
        <v>41433</v>
      </c>
      <c r="C16" s="14">
        <v>2161.3000000000002</v>
      </c>
      <c r="D16" s="5">
        <f t="shared" si="0"/>
        <v>25.935600000000004</v>
      </c>
      <c r="E16" s="5" t="str">
        <f t="shared" si="1"/>
        <v>SIM</v>
      </c>
      <c r="F16" s="20">
        <f t="shared" si="2"/>
        <v>25.935600000000004</v>
      </c>
    </row>
    <row r="17" spans="2:6">
      <c r="B17" s="4">
        <v>41434</v>
      </c>
      <c r="C17" s="14">
        <v>2530.86</v>
      </c>
      <c r="D17" s="5">
        <f t="shared" si="0"/>
        <v>30.370320000000003</v>
      </c>
      <c r="E17" s="5" t="str">
        <f t="shared" si="1"/>
        <v>SIM</v>
      </c>
      <c r="F17" s="20">
        <f t="shared" si="2"/>
        <v>30.370320000000003</v>
      </c>
    </row>
    <row r="18" spans="2:6">
      <c r="B18" s="6">
        <v>41435</v>
      </c>
      <c r="C18" s="14">
        <v>2630.76</v>
      </c>
      <c r="D18" s="5">
        <f t="shared" si="0"/>
        <v>31.569120000000002</v>
      </c>
      <c r="E18" s="5" t="str">
        <f t="shared" si="1"/>
        <v>SIM</v>
      </c>
      <c r="F18" s="20">
        <f t="shared" si="2"/>
        <v>31.569120000000002</v>
      </c>
    </row>
    <row r="19" spans="2:6">
      <c r="B19" s="6">
        <v>41436</v>
      </c>
      <c r="C19" s="14">
        <v>1834.14</v>
      </c>
      <c r="D19" s="5">
        <f t="shared" si="0"/>
        <v>22.009680000000003</v>
      </c>
      <c r="E19" s="5" t="str">
        <f t="shared" si="1"/>
        <v>SIM</v>
      </c>
      <c r="F19" s="20">
        <f t="shared" si="2"/>
        <v>22.009680000000003</v>
      </c>
    </row>
    <row r="20" spans="2:6">
      <c r="B20" s="4">
        <v>41437</v>
      </c>
      <c r="C20" s="14">
        <v>894.42</v>
      </c>
      <c r="D20" s="5">
        <f t="shared" si="0"/>
        <v>10.733039999999999</v>
      </c>
      <c r="E20" s="5" t="str">
        <f t="shared" si="1"/>
        <v>SIM</v>
      </c>
      <c r="F20" s="20">
        <f t="shared" si="2"/>
        <v>10.733039999999999</v>
      </c>
    </row>
    <row r="21" spans="2:6">
      <c r="B21" s="6">
        <v>41438</v>
      </c>
      <c r="C21" s="14">
        <v>453.29</v>
      </c>
      <c r="D21" s="5">
        <f t="shared" si="0"/>
        <v>5.4394800000000005</v>
      </c>
      <c r="E21" s="5" t="str">
        <f t="shared" si="1"/>
        <v>NÃO</v>
      </c>
      <c r="F21" s="20" t="str">
        <f t="shared" si="2"/>
        <v xml:space="preserve"> </v>
      </c>
    </row>
    <row r="22" spans="2:6">
      <c r="B22" s="6">
        <v>41439</v>
      </c>
      <c r="C22" s="14">
        <v>1824.49</v>
      </c>
      <c r="D22" s="5">
        <f t="shared" si="0"/>
        <v>21.893879999999999</v>
      </c>
      <c r="E22" s="5" t="str">
        <f t="shared" si="1"/>
        <v>SIM</v>
      </c>
      <c r="F22" s="20">
        <f t="shared" si="2"/>
        <v>21.893879999999999</v>
      </c>
    </row>
    <row r="23" spans="2:6">
      <c r="B23" s="4">
        <v>41440</v>
      </c>
      <c r="C23" s="14">
        <v>2661.59</v>
      </c>
      <c r="D23" s="5">
        <f t="shared" si="0"/>
        <v>31.939080000000004</v>
      </c>
      <c r="E23" s="5" t="str">
        <f t="shared" si="1"/>
        <v>SIM</v>
      </c>
      <c r="F23" s="20">
        <f t="shared" si="2"/>
        <v>31.939080000000004</v>
      </c>
    </row>
    <row r="24" spans="2:6">
      <c r="B24" s="6">
        <v>41441</v>
      </c>
      <c r="C24" s="14">
        <v>606.97</v>
      </c>
      <c r="D24" s="5">
        <f t="shared" si="0"/>
        <v>7.2836400000000001</v>
      </c>
      <c r="E24" s="5" t="str">
        <f t="shared" si="1"/>
        <v>NÃO</v>
      </c>
      <c r="F24" s="20" t="str">
        <f t="shared" si="2"/>
        <v xml:space="preserve"> </v>
      </c>
    </row>
    <row r="25" spans="2:6">
      <c r="B25" s="6">
        <v>41442</v>
      </c>
      <c r="C25" s="14">
        <v>1373.34</v>
      </c>
      <c r="D25" s="5">
        <f t="shared" si="0"/>
        <v>16.480080000000001</v>
      </c>
      <c r="E25" s="5" t="str">
        <f t="shared" si="1"/>
        <v>SIM</v>
      </c>
      <c r="F25" s="20">
        <f t="shared" si="2"/>
        <v>16.480080000000001</v>
      </c>
    </row>
    <row r="26" spans="2:6">
      <c r="B26" s="4">
        <v>41443</v>
      </c>
      <c r="C26" s="14">
        <v>318.56</v>
      </c>
      <c r="D26" s="5">
        <f t="shared" si="0"/>
        <v>3.8227199999999999</v>
      </c>
      <c r="E26" s="5" t="str">
        <f t="shared" si="1"/>
        <v>NÃO</v>
      </c>
      <c r="F26" s="20" t="str">
        <f t="shared" si="2"/>
        <v xml:space="preserve"> </v>
      </c>
    </row>
    <row r="27" spans="2:6">
      <c r="B27" s="6">
        <v>41444</v>
      </c>
      <c r="C27" s="14">
        <v>2688.81</v>
      </c>
      <c r="D27" s="5">
        <f t="shared" si="0"/>
        <v>32.265720000000002</v>
      </c>
      <c r="E27" s="5" t="str">
        <f t="shared" si="1"/>
        <v>SIM</v>
      </c>
      <c r="F27" s="20">
        <f t="shared" si="2"/>
        <v>32.265720000000002</v>
      </c>
    </row>
    <row r="28" spans="2:6">
      <c r="B28" s="6">
        <v>41445</v>
      </c>
      <c r="C28" s="14">
        <v>859.37</v>
      </c>
      <c r="D28" s="5">
        <f t="shared" si="0"/>
        <v>10.31244</v>
      </c>
      <c r="E28" s="5" t="str">
        <f t="shared" si="1"/>
        <v>SIM</v>
      </c>
      <c r="F28" s="20">
        <f t="shared" si="2"/>
        <v>10.31244</v>
      </c>
    </row>
    <row r="29" spans="2:6">
      <c r="B29" s="4">
        <v>41446</v>
      </c>
      <c r="C29" s="14">
        <v>40.85</v>
      </c>
      <c r="D29" s="5">
        <f t="shared" si="0"/>
        <v>0.49020000000000002</v>
      </c>
      <c r="E29" s="5" t="str">
        <f t="shared" si="1"/>
        <v>NÃO</v>
      </c>
      <c r="F29" s="20" t="str">
        <f t="shared" si="2"/>
        <v xml:space="preserve"> </v>
      </c>
    </row>
    <row r="30" spans="2:6">
      <c r="B30" s="6">
        <v>41447</v>
      </c>
      <c r="C30" s="14">
        <v>2552.04</v>
      </c>
      <c r="D30" s="5">
        <f t="shared" si="0"/>
        <v>30.624480000000002</v>
      </c>
      <c r="E30" s="5" t="str">
        <f t="shared" si="1"/>
        <v>SIM</v>
      </c>
      <c r="F30" s="20">
        <f t="shared" si="2"/>
        <v>30.624480000000002</v>
      </c>
    </row>
    <row r="31" spans="2:6">
      <c r="B31" s="6">
        <v>41448</v>
      </c>
      <c r="C31" s="14">
        <v>3861.18</v>
      </c>
      <c r="D31" s="5">
        <f t="shared" si="0"/>
        <v>46.334159999999997</v>
      </c>
      <c r="E31" s="5" t="str">
        <f t="shared" si="1"/>
        <v>SIM</v>
      </c>
      <c r="F31" s="20">
        <f t="shared" si="2"/>
        <v>46.334159999999997</v>
      </c>
    </row>
    <row r="32" spans="2:6">
      <c r="B32" s="6">
        <v>41449</v>
      </c>
      <c r="C32" s="14">
        <v>3386.98</v>
      </c>
      <c r="D32" s="5">
        <f t="shared" si="0"/>
        <v>40.64376</v>
      </c>
      <c r="E32" s="5" t="str">
        <f t="shared" si="1"/>
        <v>SIM</v>
      </c>
      <c r="F32" s="20">
        <f t="shared" si="2"/>
        <v>40.64376</v>
      </c>
    </row>
    <row r="33" spans="2:6">
      <c r="B33" s="4">
        <v>41450</v>
      </c>
      <c r="C33" s="14">
        <v>3288.99</v>
      </c>
      <c r="D33" s="5">
        <f t="shared" si="0"/>
        <v>39.467880000000001</v>
      </c>
      <c r="E33" s="5" t="str">
        <f t="shared" si="1"/>
        <v>SIM</v>
      </c>
      <c r="F33" s="20">
        <f t="shared" si="2"/>
        <v>39.467880000000001</v>
      </c>
    </row>
    <row r="34" spans="2:6">
      <c r="B34" s="6">
        <v>41451</v>
      </c>
      <c r="C34" s="14">
        <v>919.34</v>
      </c>
      <c r="D34" s="5">
        <f t="shared" si="0"/>
        <v>11.032080000000001</v>
      </c>
      <c r="E34" s="5" t="str">
        <f t="shared" si="1"/>
        <v>SIM</v>
      </c>
      <c r="F34" s="20">
        <f t="shared" si="2"/>
        <v>11.032080000000001</v>
      </c>
    </row>
    <row r="35" spans="2:6">
      <c r="B35" s="6">
        <v>41452</v>
      </c>
      <c r="C35" s="14">
        <v>2722.56</v>
      </c>
      <c r="D35" s="5">
        <f t="shared" si="0"/>
        <v>32.670720000000003</v>
      </c>
      <c r="E35" s="5" t="str">
        <f t="shared" si="1"/>
        <v>SIM</v>
      </c>
      <c r="F35" s="20">
        <f t="shared" si="2"/>
        <v>32.670720000000003</v>
      </c>
    </row>
    <row r="36" spans="2:6">
      <c r="B36" s="4">
        <v>41453</v>
      </c>
      <c r="C36" s="14">
        <v>1432.81</v>
      </c>
      <c r="D36" s="5">
        <f t="shared" si="0"/>
        <v>17.193719999999999</v>
      </c>
      <c r="E36" s="5" t="str">
        <f t="shared" si="1"/>
        <v>SIM</v>
      </c>
      <c r="F36" s="20">
        <f t="shared" si="2"/>
        <v>17.193719999999999</v>
      </c>
    </row>
    <row r="37" spans="2:6">
      <c r="B37" s="6">
        <v>41454</v>
      </c>
      <c r="C37" s="14">
        <v>2411.88</v>
      </c>
      <c r="D37" s="5">
        <f t="shared" si="0"/>
        <v>28.94256</v>
      </c>
      <c r="E37" s="5" t="str">
        <f t="shared" si="1"/>
        <v>SIM</v>
      </c>
      <c r="F37" s="20">
        <f t="shared" si="2"/>
        <v>28.94256</v>
      </c>
    </row>
    <row r="38" spans="2:6">
      <c r="B38" s="6">
        <v>41455</v>
      </c>
      <c r="C38" s="14">
        <v>493.76</v>
      </c>
      <c r="D38" s="5">
        <f t="shared" si="0"/>
        <v>5.9251199999999997</v>
      </c>
      <c r="E38" s="5" t="str">
        <f t="shared" si="1"/>
        <v>NÃO</v>
      </c>
      <c r="F38" s="20" t="str">
        <f t="shared" si="2"/>
        <v xml:space="preserve"> </v>
      </c>
    </row>
    <row r="39" spans="2:6">
      <c r="B39" s="4">
        <v>41456</v>
      </c>
      <c r="C39" s="14">
        <v>2480.94</v>
      </c>
      <c r="D39" s="5">
        <f t="shared" si="0"/>
        <v>29.771280000000001</v>
      </c>
      <c r="E39" s="5" t="str">
        <f t="shared" si="1"/>
        <v>SIM</v>
      </c>
      <c r="F39" s="20">
        <f t="shared" si="2"/>
        <v>29.771280000000001</v>
      </c>
    </row>
    <row r="40" spans="2:6">
      <c r="B40" s="6">
        <v>41457</v>
      </c>
      <c r="C40" s="14">
        <v>245.13</v>
      </c>
      <c r="D40" s="5">
        <f t="shared" si="0"/>
        <v>2.94156</v>
      </c>
      <c r="E40" s="5" t="str">
        <f t="shared" si="1"/>
        <v>NÃO</v>
      </c>
      <c r="F40" s="20" t="str">
        <f t="shared" si="2"/>
        <v xml:space="preserve"> </v>
      </c>
    </row>
    <row r="41" spans="2:6">
      <c r="B41" s="6">
        <v>41458</v>
      </c>
      <c r="C41" s="14">
        <v>2806.12</v>
      </c>
      <c r="D41" s="5">
        <f t="shared" si="0"/>
        <v>33.673439999999999</v>
      </c>
      <c r="E41" s="5" t="str">
        <f t="shared" si="1"/>
        <v>SIM</v>
      </c>
      <c r="F41" s="20">
        <f t="shared" si="2"/>
        <v>33.673439999999999</v>
      </c>
    </row>
    <row r="42" spans="2:6">
      <c r="B42" s="4">
        <v>41459</v>
      </c>
      <c r="C42" s="14">
        <v>970.22</v>
      </c>
      <c r="D42" s="5">
        <f t="shared" si="0"/>
        <v>11.64264</v>
      </c>
      <c r="E42" s="5" t="str">
        <f t="shared" si="1"/>
        <v>SIM</v>
      </c>
      <c r="F42" s="20">
        <f t="shared" si="2"/>
        <v>11.64264</v>
      </c>
    </row>
    <row r="43" spans="2:6">
      <c r="B43" s="6">
        <v>41460</v>
      </c>
      <c r="C43" s="14">
        <v>1262.92</v>
      </c>
      <c r="D43" s="5">
        <f t="shared" si="0"/>
        <v>15.155040000000001</v>
      </c>
      <c r="E43" s="5" t="str">
        <f t="shared" si="1"/>
        <v>SIM</v>
      </c>
      <c r="F43" s="20">
        <f t="shared" si="2"/>
        <v>15.155040000000001</v>
      </c>
    </row>
    <row r="44" spans="2:6">
      <c r="B44" s="6">
        <v>41461</v>
      </c>
      <c r="C44" s="14">
        <v>2557.13</v>
      </c>
      <c r="D44" s="5">
        <f t="shared" si="0"/>
        <v>30.685560000000002</v>
      </c>
      <c r="E44" s="5" t="str">
        <f t="shared" si="1"/>
        <v>SIM</v>
      </c>
      <c r="F44" s="20">
        <f t="shared" si="2"/>
        <v>30.685560000000002</v>
      </c>
    </row>
    <row r="45" spans="2:6">
      <c r="B45" s="6">
        <v>41462</v>
      </c>
      <c r="C45" s="14">
        <v>2908.92</v>
      </c>
      <c r="D45" s="5">
        <f t="shared" si="0"/>
        <v>34.907040000000002</v>
      </c>
      <c r="E45" s="5" t="str">
        <f t="shared" si="1"/>
        <v>SIM</v>
      </c>
      <c r="F45" s="20">
        <f t="shared" si="2"/>
        <v>34.907040000000002</v>
      </c>
    </row>
    <row r="46" spans="2:6">
      <c r="B46" s="4">
        <v>41463</v>
      </c>
      <c r="C46" s="14">
        <v>807.47</v>
      </c>
      <c r="D46" s="5">
        <f t="shared" si="0"/>
        <v>9.6896400000000007</v>
      </c>
      <c r="E46" s="5" t="str">
        <f t="shared" si="1"/>
        <v>NÃO</v>
      </c>
      <c r="F46" s="20" t="str">
        <f t="shared" si="2"/>
        <v xml:space="preserve"> </v>
      </c>
    </row>
    <row r="47" spans="2:6">
      <c r="B47" s="6">
        <v>41464</v>
      </c>
      <c r="C47" s="14">
        <v>1324.47</v>
      </c>
      <c r="D47" s="30">
        <f t="shared" si="0"/>
        <v>15.893640000000001</v>
      </c>
      <c r="E47" s="30" t="str">
        <f t="shared" si="1"/>
        <v>SIM</v>
      </c>
      <c r="F47" s="20">
        <f t="shared" si="2"/>
        <v>15.893640000000001</v>
      </c>
    </row>
    <row r="48" spans="2:6">
      <c r="B48" s="6">
        <v>41465</v>
      </c>
      <c r="C48" s="14">
        <v>1651.3</v>
      </c>
      <c r="D48" s="5">
        <f t="shared" si="0"/>
        <v>19.8156</v>
      </c>
      <c r="E48" s="5" t="str">
        <f t="shared" si="1"/>
        <v>SIM</v>
      </c>
      <c r="F48" s="20">
        <f t="shared" si="2"/>
        <v>19.8156</v>
      </c>
    </row>
    <row r="49" spans="2:6">
      <c r="B49" s="4">
        <v>41466</v>
      </c>
      <c r="C49" s="14">
        <v>2266.52</v>
      </c>
      <c r="D49" s="5">
        <f t="shared" si="0"/>
        <v>27.198240000000002</v>
      </c>
      <c r="E49" s="5" t="str">
        <f t="shared" si="1"/>
        <v>SIM</v>
      </c>
      <c r="F49" s="20">
        <f t="shared" si="2"/>
        <v>27.198240000000002</v>
      </c>
    </row>
    <row r="50" spans="2:6">
      <c r="B50" s="6">
        <v>41467</v>
      </c>
      <c r="C50" s="14">
        <v>3151.85</v>
      </c>
      <c r="D50" s="5">
        <f t="shared" si="0"/>
        <v>37.822200000000002</v>
      </c>
      <c r="E50" s="5" t="str">
        <f t="shared" si="1"/>
        <v>SIM</v>
      </c>
      <c r="F50" s="20">
        <f t="shared" si="2"/>
        <v>37.822200000000002</v>
      </c>
    </row>
    <row r="51" spans="2:6">
      <c r="B51" s="6">
        <v>41468</v>
      </c>
      <c r="C51" s="14">
        <v>1000.4</v>
      </c>
      <c r="D51" s="5">
        <f t="shared" si="0"/>
        <v>12.004799999999999</v>
      </c>
      <c r="E51" s="5" t="str">
        <f t="shared" si="1"/>
        <v>SIM</v>
      </c>
      <c r="F51" s="20">
        <f t="shared" si="2"/>
        <v>12.004799999999999</v>
      </c>
    </row>
    <row r="52" spans="2:6">
      <c r="B52" s="4">
        <v>41469</v>
      </c>
      <c r="C52" s="14">
        <v>591.36</v>
      </c>
      <c r="D52" s="5">
        <f t="shared" si="0"/>
        <v>7.0963200000000004</v>
      </c>
      <c r="E52" s="5" t="str">
        <f t="shared" si="1"/>
        <v>NÃO</v>
      </c>
      <c r="F52" s="20" t="str">
        <f t="shared" si="2"/>
        <v xml:space="preserve"> </v>
      </c>
    </row>
    <row r="53" spans="2:6">
      <c r="B53" s="6">
        <v>41470</v>
      </c>
      <c r="C53" s="14">
        <v>779.2</v>
      </c>
      <c r="D53" s="5">
        <f t="shared" si="0"/>
        <v>9.3504000000000005</v>
      </c>
      <c r="E53" s="5" t="str">
        <f t="shared" si="1"/>
        <v>NÃO</v>
      </c>
      <c r="F53" s="20" t="str">
        <f t="shared" si="2"/>
        <v xml:space="preserve"> </v>
      </c>
    </row>
    <row r="54" spans="2:6" ht="15" customHeight="1">
      <c r="B54" s="6">
        <v>41471</v>
      </c>
      <c r="C54" s="14">
        <v>913.09</v>
      </c>
      <c r="D54" s="5">
        <f t="shared" si="0"/>
        <v>10.957080000000001</v>
      </c>
      <c r="E54" s="5" t="str">
        <f t="shared" si="1"/>
        <v>SIM</v>
      </c>
      <c r="F54" s="20">
        <f t="shared" si="2"/>
        <v>10.957080000000001</v>
      </c>
    </row>
    <row r="55" spans="2:6" ht="15" customHeight="1">
      <c r="B55" s="6">
        <v>41472</v>
      </c>
      <c r="C55" s="33">
        <v>840.03</v>
      </c>
      <c r="D55" s="34">
        <f t="shared" si="0"/>
        <v>10.080360000000001</v>
      </c>
      <c r="E55" s="34" t="str">
        <f t="shared" si="1"/>
        <v>SIM</v>
      </c>
      <c r="F55" s="20">
        <f t="shared" si="2"/>
        <v>10.080360000000001</v>
      </c>
    </row>
    <row r="56" spans="2:6">
      <c r="B56" s="4">
        <v>41473</v>
      </c>
      <c r="C56" s="14">
        <v>993.6</v>
      </c>
      <c r="D56" s="30">
        <f t="shared" si="0"/>
        <v>11.923200000000001</v>
      </c>
      <c r="E56" s="30" t="str">
        <f t="shared" si="1"/>
        <v>SIM</v>
      </c>
      <c r="F56" s="27">
        <f t="shared" si="2"/>
        <v>11.923200000000001</v>
      </c>
    </row>
    <row r="57" spans="2:6">
      <c r="B57" s="6">
        <v>41474</v>
      </c>
      <c r="C57" s="33">
        <v>624.44000000000005</v>
      </c>
      <c r="D57" s="30">
        <f t="shared" si="0"/>
        <v>7.4932800000000004</v>
      </c>
      <c r="E57" s="30" t="str">
        <f t="shared" si="1"/>
        <v>NÃO</v>
      </c>
      <c r="F57" s="27" t="str">
        <f t="shared" si="2"/>
        <v xml:space="preserve"> </v>
      </c>
    </row>
    <row r="58" spans="2:6">
      <c r="B58" s="6">
        <v>41475</v>
      </c>
      <c r="C58" s="33">
        <v>192.41</v>
      </c>
      <c r="D58" s="30">
        <f t="shared" si="0"/>
        <v>2.3089200000000001</v>
      </c>
      <c r="E58" s="30" t="str">
        <f t="shared" si="1"/>
        <v>NÃO</v>
      </c>
      <c r="F58" s="27" t="str">
        <f t="shared" si="2"/>
        <v xml:space="preserve"> </v>
      </c>
    </row>
    <row r="59" spans="2:6">
      <c r="B59" s="4">
        <v>41476</v>
      </c>
      <c r="C59" s="33">
        <v>754.31</v>
      </c>
      <c r="D59" s="30">
        <f t="shared" si="0"/>
        <v>9.0517199999999995</v>
      </c>
      <c r="E59" s="30" t="str">
        <f t="shared" si="1"/>
        <v>NÃO</v>
      </c>
      <c r="F59" s="27" t="str">
        <f t="shared" si="2"/>
        <v xml:space="preserve"> </v>
      </c>
    </row>
    <row r="60" spans="2:6">
      <c r="B60" s="6">
        <v>41477</v>
      </c>
      <c r="C60" s="33">
        <v>814.36</v>
      </c>
      <c r="D60" s="17">
        <f t="shared" si="0"/>
        <v>9.7723200000000006</v>
      </c>
      <c r="E60" s="17" t="str">
        <f t="shared" si="1"/>
        <v>NÃO</v>
      </c>
      <c r="F60" s="27" t="str">
        <f t="shared" si="2"/>
        <v xml:space="preserve"> </v>
      </c>
    </row>
    <row r="61" spans="2:6">
      <c r="B61" s="4">
        <v>41478</v>
      </c>
      <c r="C61" s="33">
        <v>775.28</v>
      </c>
      <c r="D61" s="17">
        <f t="shared" si="0"/>
        <v>9.3033599999999996</v>
      </c>
      <c r="E61" s="17" t="str">
        <f t="shared" si="1"/>
        <v>NÃO</v>
      </c>
      <c r="F61" s="27" t="str">
        <f t="shared" si="2"/>
        <v xml:space="preserve"> </v>
      </c>
    </row>
    <row r="62" spans="2:6">
      <c r="B62" s="6">
        <v>41479</v>
      </c>
      <c r="C62" s="33">
        <v>808.88</v>
      </c>
      <c r="D62" s="17">
        <f t="shared" si="0"/>
        <v>9.7065599999999996</v>
      </c>
      <c r="E62" s="17" t="str">
        <f t="shared" si="1"/>
        <v>NÃO</v>
      </c>
      <c r="F62" s="27" t="str">
        <f t="shared" si="2"/>
        <v xml:space="preserve"> </v>
      </c>
    </row>
    <row r="63" spans="2:6">
      <c r="B63" s="4">
        <v>41480</v>
      </c>
      <c r="C63" s="33">
        <v>916.17</v>
      </c>
      <c r="D63" s="17">
        <f t="shared" si="0"/>
        <v>10.99404</v>
      </c>
      <c r="E63" s="17" t="str">
        <f t="shared" si="1"/>
        <v>SIM</v>
      </c>
      <c r="F63" s="27">
        <f t="shared" si="2"/>
        <v>10.99404</v>
      </c>
    </row>
    <row r="64" spans="2:6">
      <c r="B64" s="6">
        <v>41481</v>
      </c>
      <c r="C64" s="33">
        <v>679.96</v>
      </c>
      <c r="D64" s="17">
        <f t="shared" si="0"/>
        <v>8.1595200000000006</v>
      </c>
      <c r="E64" s="17" t="str">
        <f t="shared" si="1"/>
        <v>NÃO</v>
      </c>
      <c r="F64" s="27" t="str">
        <f t="shared" si="2"/>
        <v xml:space="preserve"> </v>
      </c>
    </row>
    <row r="65" spans="2:6">
      <c r="B65" s="4">
        <v>41482</v>
      </c>
      <c r="C65" s="33">
        <v>789.18</v>
      </c>
      <c r="D65" s="17">
        <f t="shared" si="0"/>
        <v>9.4701599999999999</v>
      </c>
      <c r="E65" s="17" t="str">
        <f t="shared" si="1"/>
        <v>NÃO</v>
      </c>
      <c r="F65" s="27" t="str">
        <f t="shared" si="2"/>
        <v xml:space="preserve"> </v>
      </c>
    </row>
    <row r="66" spans="2:6">
      <c r="B66" s="6">
        <v>41483</v>
      </c>
      <c r="C66" s="33">
        <v>877.28</v>
      </c>
      <c r="D66" s="17">
        <f t="shared" si="0"/>
        <v>10.52736</v>
      </c>
      <c r="E66" s="17" t="str">
        <f t="shared" si="1"/>
        <v>SIM</v>
      </c>
      <c r="F66" s="27">
        <f t="shared" si="2"/>
        <v>10.52736</v>
      </c>
    </row>
    <row r="67" spans="2:6" ht="15.75" thickBot="1">
      <c r="B67" s="4">
        <v>41484</v>
      </c>
      <c r="C67" s="33">
        <v>275.95</v>
      </c>
      <c r="D67" s="17">
        <f t="shared" si="0"/>
        <v>3.3113999999999999</v>
      </c>
      <c r="E67" s="17" t="str">
        <f t="shared" si="1"/>
        <v>NÃO</v>
      </c>
      <c r="F67" s="27" t="str">
        <f t="shared" si="2"/>
        <v xml:space="preserve"> </v>
      </c>
    </row>
    <row r="68" spans="2:6" ht="15.75" thickBot="1">
      <c r="B68" s="9" t="s">
        <v>4</v>
      </c>
      <c r="C68" s="16">
        <f>SUM(C5:C67)</f>
        <v>98543.12</v>
      </c>
      <c r="D68" s="10">
        <f>SUM(D5:D67)</f>
        <v>1182.5174400000003</v>
      </c>
      <c r="E68" s="9"/>
      <c r="F68" s="22">
        <f>SUM(F5:F67)</f>
        <v>1048.8998400000003</v>
      </c>
    </row>
    <row r="69" spans="2:6">
      <c r="B69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>
      <c r="B79"/>
    </row>
    <row r="80" spans="2:6">
      <c r="B80"/>
    </row>
    <row r="81" spans="2:6">
      <c r="B81"/>
    </row>
    <row r="82" spans="2:6">
      <c r="B82"/>
    </row>
    <row r="83" spans="2:6">
      <c r="B83"/>
    </row>
    <row r="84" spans="2:6" s="11" customFormat="1">
      <c r="B84"/>
      <c r="D84"/>
      <c r="E84"/>
      <c r="F84" s="18"/>
    </row>
    <row r="85" spans="2:6" s="11" customFormat="1">
      <c r="B85"/>
      <c r="D85"/>
      <c r="E85"/>
      <c r="F85" s="18"/>
    </row>
    <row r="86" spans="2:6" s="11" customFormat="1">
      <c r="B86"/>
      <c r="D86"/>
      <c r="E86"/>
      <c r="F86" s="18"/>
    </row>
    <row r="87" spans="2:6" s="11" customFormat="1">
      <c r="B87"/>
      <c r="D87"/>
      <c r="E87"/>
      <c r="F87" s="18"/>
    </row>
    <row r="88" spans="2:6" s="11" customFormat="1">
      <c r="B88"/>
      <c r="D88"/>
      <c r="E88"/>
      <c r="F88" s="18"/>
    </row>
    <row r="89" spans="2:6" s="11" customFormat="1">
      <c r="B89"/>
      <c r="D89"/>
      <c r="E89"/>
      <c r="F89" s="18"/>
    </row>
  </sheetData>
  <mergeCells count="1">
    <mergeCell ref="B1:F1"/>
  </mergeCells>
  <conditionalFormatting sqref="E71:E1048576 E3:E69">
    <cfRule type="cellIs" dxfId="4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pane ySplit="2" topLeftCell="A3" activePane="bottomLeft" state="frozen"/>
      <selection pane="bottomLeft" activeCell="D5" sqref="D5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14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38">
        <f>F18</f>
        <v>0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1542027</v>
      </c>
      <c r="C5" s="13">
        <v>575.62</v>
      </c>
      <c r="D5" s="5">
        <f>C5*0.24%</f>
        <v>1.3814879999999998</v>
      </c>
      <c r="E5" s="5" t="str">
        <f>IF(D5&lt;=10,"NÃO","SIM")</f>
        <v>NÃO</v>
      </c>
      <c r="F5" s="19" t="str">
        <f>IF((D5)&lt;10," ",D5)</f>
        <v xml:space="preserve"> </v>
      </c>
    </row>
    <row r="6" spans="2:6">
      <c r="B6" s="6">
        <v>1542028</v>
      </c>
      <c r="C6" s="14">
        <v>287.81</v>
      </c>
      <c r="D6" s="5">
        <f>C6*0.24%</f>
        <v>0.69074399999999991</v>
      </c>
      <c r="E6" s="5" t="str">
        <f t="shared" ref="E6:E17" si="0">IF(D6&lt;=10,"NÃO","SIM")</f>
        <v>NÃO</v>
      </c>
      <c r="F6" s="20" t="str">
        <f t="shared" ref="F6:F17" si="1">IF((D6)&lt;10," ",D6)</f>
        <v xml:space="preserve"> </v>
      </c>
    </row>
    <row r="7" spans="2:6">
      <c r="B7" s="6">
        <v>1542029</v>
      </c>
      <c r="C7" s="14">
        <v>575.62</v>
      </c>
      <c r="D7" s="5">
        <f t="shared" ref="D7:D17" si="2">C7*0.24%</f>
        <v>1.3814879999999998</v>
      </c>
      <c r="E7" s="5" t="str">
        <f t="shared" si="0"/>
        <v>NÃO</v>
      </c>
      <c r="F7" s="19" t="str">
        <f t="shared" si="1"/>
        <v xml:space="preserve"> </v>
      </c>
    </row>
    <row r="8" spans="2:6">
      <c r="B8" s="4">
        <v>1542030</v>
      </c>
      <c r="C8" s="14">
        <v>575.62</v>
      </c>
      <c r="D8" s="5">
        <f t="shared" si="2"/>
        <v>1.3814879999999998</v>
      </c>
      <c r="E8" s="5" t="str">
        <f t="shared" si="0"/>
        <v>NÃO</v>
      </c>
      <c r="F8" s="20" t="str">
        <f t="shared" si="1"/>
        <v xml:space="preserve"> </v>
      </c>
    </row>
    <row r="9" spans="2:6">
      <c r="B9" s="6">
        <v>1542031</v>
      </c>
      <c r="C9" s="14">
        <v>575.62</v>
      </c>
      <c r="D9" s="5">
        <f t="shared" si="2"/>
        <v>1.3814879999999998</v>
      </c>
      <c r="E9" s="5" t="str">
        <f t="shared" si="0"/>
        <v>NÃO</v>
      </c>
      <c r="F9" s="19" t="str">
        <f t="shared" si="1"/>
        <v xml:space="preserve"> </v>
      </c>
    </row>
    <row r="10" spans="2:6">
      <c r="B10" s="6">
        <v>1542032</v>
      </c>
      <c r="C10" s="14">
        <v>575.62</v>
      </c>
      <c r="D10" s="5">
        <f t="shared" si="2"/>
        <v>1.3814879999999998</v>
      </c>
      <c r="E10" s="5" t="str">
        <f t="shared" si="0"/>
        <v>NÃO</v>
      </c>
      <c r="F10" s="20" t="str">
        <f t="shared" si="1"/>
        <v xml:space="preserve"> </v>
      </c>
    </row>
    <row r="11" spans="2:6">
      <c r="B11" s="4">
        <v>1542033</v>
      </c>
      <c r="C11" s="14">
        <v>575.62</v>
      </c>
      <c r="D11" s="5">
        <f t="shared" si="2"/>
        <v>1.3814879999999998</v>
      </c>
      <c r="E11" s="5" t="str">
        <f t="shared" si="0"/>
        <v>NÃO</v>
      </c>
      <c r="F11" s="19" t="str">
        <f t="shared" si="1"/>
        <v xml:space="preserve"> </v>
      </c>
    </row>
    <row r="12" spans="2:6">
      <c r="B12" s="6">
        <v>1542034</v>
      </c>
      <c r="C12" s="14">
        <v>575.62</v>
      </c>
      <c r="D12" s="5">
        <f t="shared" si="2"/>
        <v>1.3814879999999998</v>
      </c>
      <c r="E12" s="5" t="str">
        <f t="shared" si="0"/>
        <v>NÃO</v>
      </c>
      <c r="F12" s="19" t="str">
        <f t="shared" si="1"/>
        <v xml:space="preserve"> </v>
      </c>
    </row>
    <row r="13" spans="2:6">
      <c r="B13" s="6">
        <v>1542035</v>
      </c>
      <c r="C13" s="14">
        <v>575.62</v>
      </c>
      <c r="D13" s="5">
        <f t="shared" si="2"/>
        <v>1.3814879999999998</v>
      </c>
      <c r="E13" s="5" t="str">
        <f t="shared" si="0"/>
        <v>NÃO</v>
      </c>
      <c r="F13" s="19" t="str">
        <f t="shared" si="1"/>
        <v xml:space="preserve"> </v>
      </c>
    </row>
    <row r="14" spans="2:6">
      <c r="B14" s="4">
        <v>1542036</v>
      </c>
      <c r="C14" s="14">
        <v>1439.05</v>
      </c>
      <c r="D14" s="5">
        <f t="shared" si="2"/>
        <v>3.4537199999999997</v>
      </c>
      <c r="E14" s="5" t="str">
        <f t="shared" si="0"/>
        <v>NÃO</v>
      </c>
      <c r="F14" s="20" t="str">
        <f t="shared" si="1"/>
        <v xml:space="preserve"> </v>
      </c>
    </row>
    <row r="15" spans="2:6">
      <c r="B15" s="6">
        <v>1542037</v>
      </c>
      <c r="C15" s="14">
        <v>575.62</v>
      </c>
      <c r="D15" s="5">
        <f t="shared" si="2"/>
        <v>1.3814879999999998</v>
      </c>
      <c r="E15" s="5" t="str">
        <f t="shared" si="0"/>
        <v>NÃO</v>
      </c>
      <c r="F15" s="20" t="str">
        <f t="shared" si="1"/>
        <v xml:space="preserve"> </v>
      </c>
    </row>
    <row r="16" spans="2:6">
      <c r="B16" s="6">
        <v>1542038</v>
      </c>
      <c r="C16" s="14">
        <v>575.62</v>
      </c>
      <c r="D16" s="5">
        <f t="shared" si="2"/>
        <v>1.3814879999999998</v>
      </c>
      <c r="E16" s="5" t="str">
        <f t="shared" si="0"/>
        <v>NÃO</v>
      </c>
      <c r="F16" s="20" t="str">
        <f t="shared" si="1"/>
        <v xml:space="preserve"> </v>
      </c>
    </row>
    <row r="17" spans="2:6" ht="15.75" thickBot="1">
      <c r="B17" s="4">
        <v>1542039</v>
      </c>
      <c r="C17" s="14">
        <v>575.62</v>
      </c>
      <c r="D17" s="5">
        <f t="shared" si="2"/>
        <v>1.3814879999999998</v>
      </c>
      <c r="E17" s="5" t="str">
        <f t="shared" si="0"/>
        <v>NÃO</v>
      </c>
      <c r="F17" s="20" t="str">
        <f t="shared" si="1"/>
        <v xml:space="preserve"> </v>
      </c>
    </row>
    <row r="18" spans="2:6" ht="15.75" thickBot="1">
      <c r="B18" s="9" t="s">
        <v>4</v>
      </c>
      <c r="C18" s="16">
        <f>SUM(C5:C17)</f>
        <v>8058.6799999999994</v>
      </c>
      <c r="D18" s="10">
        <f>SUM(D5:D17)</f>
        <v>19.340831999999999</v>
      </c>
      <c r="E18" s="9"/>
      <c r="F18" s="22">
        <f>SUM(F5:F17)</f>
        <v>0</v>
      </c>
    </row>
    <row r="19" spans="2:6">
      <c r="B19"/>
    </row>
    <row r="21" spans="2:6">
      <c r="B21"/>
    </row>
    <row r="22" spans="2:6">
      <c r="B22"/>
    </row>
    <row r="23" spans="2:6">
      <c r="B23"/>
    </row>
    <row r="24" spans="2:6">
      <c r="B24"/>
    </row>
    <row r="25" spans="2:6">
      <c r="B25"/>
    </row>
    <row r="26" spans="2:6">
      <c r="B26"/>
    </row>
    <row r="27" spans="2:6">
      <c r="B27"/>
    </row>
    <row r="28" spans="2:6">
      <c r="B28"/>
    </row>
    <row r="29" spans="2:6">
      <c r="B29"/>
    </row>
    <row r="30" spans="2:6">
      <c r="B30"/>
    </row>
    <row r="31" spans="2:6">
      <c r="B31"/>
    </row>
    <row r="32" spans="2:6">
      <c r="B32"/>
    </row>
    <row r="33" spans="2:6">
      <c r="B33"/>
    </row>
    <row r="34" spans="2:6" s="11" customFormat="1">
      <c r="B34"/>
      <c r="D34"/>
      <c r="E34"/>
      <c r="F34" s="18"/>
    </row>
    <row r="35" spans="2:6" s="11" customFormat="1">
      <c r="B35"/>
      <c r="D35"/>
      <c r="E35"/>
      <c r="F35" s="18"/>
    </row>
    <row r="36" spans="2:6" s="11" customFormat="1">
      <c r="B36"/>
      <c r="D36"/>
      <c r="E36"/>
      <c r="F36" s="18"/>
    </row>
    <row r="37" spans="2:6" s="11" customFormat="1">
      <c r="B37"/>
      <c r="D37"/>
      <c r="E37"/>
      <c r="F37" s="18"/>
    </row>
    <row r="38" spans="2:6" s="11" customFormat="1">
      <c r="B38"/>
      <c r="D38"/>
      <c r="E38"/>
      <c r="F38" s="18"/>
    </row>
    <row r="39" spans="2:6" s="11" customFormat="1">
      <c r="B39"/>
      <c r="D39"/>
      <c r="E39"/>
      <c r="F39" s="18"/>
    </row>
  </sheetData>
  <mergeCells count="1">
    <mergeCell ref="B1:F1"/>
  </mergeCells>
  <conditionalFormatting sqref="E21:E1048576 E3:E19">
    <cfRule type="cellIs" dxfId="3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F89"/>
  <sheetViews>
    <sheetView topLeftCell="B1" workbookViewId="0">
      <pane ySplit="2" topLeftCell="A45" activePane="bottomLeft" state="frozen"/>
      <selection pane="bottomLeft" activeCell="L18" sqref="L18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13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38">
        <f>F68</f>
        <v>1048.8998400000003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41422</v>
      </c>
      <c r="C5" s="13">
        <v>4169.5</v>
      </c>
      <c r="D5" s="5">
        <f>C5*1.2%</f>
        <v>50.033999999999999</v>
      </c>
      <c r="E5" s="5" t="str">
        <f>IF(D5&lt;=10,"NÃO","SIM")</f>
        <v>SIM</v>
      </c>
      <c r="F5" s="19">
        <f>IF((D5)&lt;10," ",D5)</f>
        <v>50.033999999999999</v>
      </c>
    </row>
    <row r="6" spans="2:6">
      <c r="B6" s="6">
        <v>41485</v>
      </c>
      <c r="C6" s="14">
        <v>1845.95</v>
      </c>
      <c r="D6" s="5">
        <f t="shared" ref="D6:D67" si="0">C6*1.2%</f>
        <v>22.151400000000002</v>
      </c>
      <c r="E6" s="5" t="str">
        <f t="shared" ref="E6:E67" si="1">IF(D6&lt;=10,"NÃO","SIM")</f>
        <v>SIM</v>
      </c>
      <c r="F6" s="20">
        <f t="shared" ref="F6:F67" si="2">IF((D6)&lt;10," ",D6)</f>
        <v>22.151400000000002</v>
      </c>
    </row>
    <row r="7" spans="2:6">
      <c r="B7" s="6">
        <v>41424</v>
      </c>
      <c r="C7" s="14">
        <v>1562.03</v>
      </c>
      <c r="D7" s="5">
        <f t="shared" si="0"/>
        <v>18.74436</v>
      </c>
      <c r="E7" s="5" t="str">
        <f t="shared" si="1"/>
        <v>SIM</v>
      </c>
      <c r="F7" s="19">
        <f t="shared" si="2"/>
        <v>18.74436</v>
      </c>
    </row>
    <row r="8" spans="2:6">
      <c r="B8" s="4">
        <v>41425</v>
      </c>
      <c r="C8" s="14">
        <v>697.4</v>
      </c>
      <c r="D8" s="5">
        <f t="shared" si="0"/>
        <v>8.3688000000000002</v>
      </c>
      <c r="E8" s="5" t="str">
        <f t="shared" si="1"/>
        <v>NÃO</v>
      </c>
      <c r="F8" s="20" t="str">
        <f t="shared" si="2"/>
        <v xml:space="preserve"> </v>
      </c>
    </row>
    <row r="9" spans="2:6">
      <c r="B9" s="6">
        <v>41426</v>
      </c>
      <c r="C9" s="14">
        <v>3651.43</v>
      </c>
      <c r="D9" s="5">
        <f t="shared" si="0"/>
        <v>43.817160000000001</v>
      </c>
      <c r="E9" s="5" t="str">
        <f t="shared" si="1"/>
        <v>SIM</v>
      </c>
      <c r="F9" s="19">
        <f t="shared" si="2"/>
        <v>43.817160000000001</v>
      </c>
    </row>
    <row r="10" spans="2:6">
      <c r="B10" s="6">
        <v>41427</v>
      </c>
      <c r="C10" s="14">
        <v>1486.75</v>
      </c>
      <c r="D10" s="5">
        <f t="shared" si="0"/>
        <v>17.841000000000001</v>
      </c>
      <c r="E10" s="5" t="str">
        <f t="shared" si="1"/>
        <v>SIM</v>
      </c>
      <c r="F10" s="20">
        <f t="shared" si="2"/>
        <v>17.841000000000001</v>
      </c>
    </row>
    <row r="11" spans="2:6">
      <c r="B11" s="4">
        <v>41428</v>
      </c>
      <c r="C11" s="14">
        <v>2243.71</v>
      </c>
      <c r="D11" s="5">
        <f t="shared" si="0"/>
        <v>26.924520000000001</v>
      </c>
      <c r="E11" s="5" t="str">
        <f t="shared" si="1"/>
        <v>SIM</v>
      </c>
      <c r="F11" s="19">
        <f t="shared" si="2"/>
        <v>26.924520000000001</v>
      </c>
    </row>
    <row r="12" spans="2:6">
      <c r="B12" s="6">
        <v>41429</v>
      </c>
      <c r="C12" s="14">
        <v>2386.42</v>
      </c>
      <c r="D12" s="5">
        <f t="shared" si="0"/>
        <v>28.637040000000002</v>
      </c>
      <c r="E12" s="5" t="str">
        <f t="shared" si="1"/>
        <v>SIM</v>
      </c>
      <c r="F12" s="19">
        <f t="shared" si="2"/>
        <v>28.637040000000002</v>
      </c>
    </row>
    <row r="13" spans="2:6">
      <c r="B13" s="6">
        <v>41430</v>
      </c>
      <c r="C13" s="14">
        <v>1837.14</v>
      </c>
      <c r="D13" s="5">
        <f t="shared" si="0"/>
        <v>22.045680000000001</v>
      </c>
      <c r="E13" s="5" t="str">
        <f t="shared" si="1"/>
        <v>SIM</v>
      </c>
      <c r="F13" s="19">
        <f t="shared" si="2"/>
        <v>22.045680000000001</v>
      </c>
    </row>
    <row r="14" spans="2:6">
      <c r="B14" s="4">
        <v>41431</v>
      </c>
      <c r="C14" s="14">
        <v>386.04</v>
      </c>
      <c r="D14" s="5">
        <f t="shared" si="0"/>
        <v>4.6324800000000002</v>
      </c>
      <c r="E14" s="5" t="str">
        <f t="shared" si="1"/>
        <v>NÃO</v>
      </c>
      <c r="F14" s="20" t="str">
        <f t="shared" si="2"/>
        <v xml:space="preserve"> </v>
      </c>
    </row>
    <row r="15" spans="2:6">
      <c r="B15" s="6">
        <v>41432</v>
      </c>
      <c r="C15" s="14">
        <v>1269.57</v>
      </c>
      <c r="D15" s="5">
        <f t="shared" si="0"/>
        <v>15.23484</v>
      </c>
      <c r="E15" s="5" t="str">
        <f t="shared" si="1"/>
        <v>SIM</v>
      </c>
      <c r="F15" s="20">
        <f t="shared" si="2"/>
        <v>15.23484</v>
      </c>
    </row>
    <row r="16" spans="2:6">
      <c r="B16" s="6">
        <v>41433</v>
      </c>
      <c r="C16" s="14">
        <v>2161.3000000000002</v>
      </c>
      <c r="D16" s="5">
        <f t="shared" si="0"/>
        <v>25.935600000000004</v>
      </c>
      <c r="E16" s="5" t="str">
        <f t="shared" si="1"/>
        <v>SIM</v>
      </c>
      <c r="F16" s="20">
        <f t="shared" si="2"/>
        <v>25.935600000000004</v>
      </c>
    </row>
    <row r="17" spans="2:6">
      <c r="B17" s="4">
        <v>41434</v>
      </c>
      <c r="C17" s="14">
        <v>2530.86</v>
      </c>
      <c r="D17" s="5">
        <f t="shared" si="0"/>
        <v>30.370320000000003</v>
      </c>
      <c r="E17" s="5" t="str">
        <f t="shared" si="1"/>
        <v>SIM</v>
      </c>
      <c r="F17" s="20">
        <f t="shared" si="2"/>
        <v>30.370320000000003</v>
      </c>
    </row>
    <row r="18" spans="2:6">
      <c r="B18" s="6">
        <v>41435</v>
      </c>
      <c r="C18" s="14">
        <v>2630.76</v>
      </c>
      <c r="D18" s="5">
        <f t="shared" si="0"/>
        <v>31.569120000000002</v>
      </c>
      <c r="E18" s="5" t="str">
        <f t="shared" si="1"/>
        <v>SIM</v>
      </c>
      <c r="F18" s="20">
        <f t="shared" si="2"/>
        <v>31.569120000000002</v>
      </c>
    </row>
    <row r="19" spans="2:6">
      <c r="B19" s="6">
        <v>41436</v>
      </c>
      <c r="C19" s="14">
        <v>1834.14</v>
      </c>
      <c r="D19" s="5">
        <f t="shared" si="0"/>
        <v>22.009680000000003</v>
      </c>
      <c r="E19" s="5" t="str">
        <f t="shared" si="1"/>
        <v>SIM</v>
      </c>
      <c r="F19" s="20">
        <f t="shared" si="2"/>
        <v>22.009680000000003</v>
      </c>
    </row>
    <row r="20" spans="2:6">
      <c r="B20" s="4">
        <v>41437</v>
      </c>
      <c r="C20" s="14">
        <v>894.42</v>
      </c>
      <c r="D20" s="5">
        <f t="shared" si="0"/>
        <v>10.733039999999999</v>
      </c>
      <c r="E20" s="5" t="str">
        <f t="shared" si="1"/>
        <v>SIM</v>
      </c>
      <c r="F20" s="20">
        <f t="shared" si="2"/>
        <v>10.733039999999999</v>
      </c>
    </row>
    <row r="21" spans="2:6">
      <c r="B21" s="6">
        <v>41438</v>
      </c>
      <c r="C21" s="14">
        <v>453.29</v>
      </c>
      <c r="D21" s="5">
        <f t="shared" si="0"/>
        <v>5.4394800000000005</v>
      </c>
      <c r="E21" s="5" t="str">
        <f t="shared" si="1"/>
        <v>NÃO</v>
      </c>
      <c r="F21" s="20" t="str">
        <f t="shared" si="2"/>
        <v xml:space="preserve"> </v>
      </c>
    </row>
    <row r="22" spans="2:6">
      <c r="B22" s="6">
        <v>41439</v>
      </c>
      <c r="C22" s="14">
        <v>1824.49</v>
      </c>
      <c r="D22" s="5">
        <f t="shared" si="0"/>
        <v>21.893879999999999</v>
      </c>
      <c r="E22" s="5" t="str">
        <f t="shared" si="1"/>
        <v>SIM</v>
      </c>
      <c r="F22" s="20">
        <f t="shared" si="2"/>
        <v>21.893879999999999</v>
      </c>
    </row>
    <row r="23" spans="2:6">
      <c r="B23" s="4">
        <v>41440</v>
      </c>
      <c r="C23" s="14">
        <v>2661.59</v>
      </c>
      <c r="D23" s="5">
        <f t="shared" si="0"/>
        <v>31.939080000000004</v>
      </c>
      <c r="E23" s="5" t="str">
        <f t="shared" si="1"/>
        <v>SIM</v>
      </c>
      <c r="F23" s="20">
        <f t="shared" si="2"/>
        <v>31.939080000000004</v>
      </c>
    </row>
    <row r="24" spans="2:6">
      <c r="B24" s="6">
        <v>41441</v>
      </c>
      <c r="C24" s="14">
        <v>606.97</v>
      </c>
      <c r="D24" s="5">
        <f t="shared" si="0"/>
        <v>7.2836400000000001</v>
      </c>
      <c r="E24" s="5" t="str">
        <f t="shared" si="1"/>
        <v>NÃO</v>
      </c>
      <c r="F24" s="20" t="str">
        <f t="shared" si="2"/>
        <v xml:space="preserve"> </v>
      </c>
    </row>
    <row r="25" spans="2:6">
      <c r="B25" s="6">
        <v>41442</v>
      </c>
      <c r="C25" s="14">
        <v>1373.34</v>
      </c>
      <c r="D25" s="5">
        <f t="shared" si="0"/>
        <v>16.480080000000001</v>
      </c>
      <c r="E25" s="5" t="str">
        <f t="shared" si="1"/>
        <v>SIM</v>
      </c>
      <c r="F25" s="20">
        <f t="shared" si="2"/>
        <v>16.480080000000001</v>
      </c>
    </row>
    <row r="26" spans="2:6">
      <c r="B26" s="4">
        <v>41443</v>
      </c>
      <c r="C26" s="14">
        <v>318.56</v>
      </c>
      <c r="D26" s="5">
        <f t="shared" si="0"/>
        <v>3.8227199999999999</v>
      </c>
      <c r="E26" s="5" t="str">
        <f t="shared" si="1"/>
        <v>NÃO</v>
      </c>
      <c r="F26" s="20" t="str">
        <f t="shared" si="2"/>
        <v xml:space="preserve"> </v>
      </c>
    </row>
    <row r="27" spans="2:6">
      <c r="B27" s="6">
        <v>41444</v>
      </c>
      <c r="C27" s="14">
        <v>2688.81</v>
      </c>
      <c r="D27" s="5">
        <f t="shared" si="0"/>
        <v>32.265720000000002</v>
      </c>
      <c r="E27" s="5" t="str">
        <f t="shared" si="1"/>
        <v>SIM</v>
      </c>
      <c r="F27" s="20">
        <f t="shared" si="2"/>
        <v>32.265720000000002</v>
      </c>
    </row>
    <row r="28" spans="2:6">
      <c r="B28" s="6">
        <v>41445</v>
      </c>
      <c r="C28" s="14">
        <v>859.37</v>
      </c>
      <c r="D28" s="5">
        <f t="shared" si="0"/>
        <v>10.31244</v>
      </c>
      <c r="E28" s="5" t="str">
        <f t="shared" si="1"/>
        <v>SIM</v>
      </c>
      <c r="F28" s="20">
        <f t="shared" si="2"/>
        <v>10.31244</v>
      </c>
    </row>
    <row r="29" spans="2:6">
      <c r="B29" s="4">
        <v>41446</v>
      </c>
      <c r="C29" s="14">
        <v>40.85</v>
      </c>
      <c r="D29" s="5">
        <f t="shared" si="0"/>
        <v>0.49020000000000002</v>
      </c>
      <c r="E29" s="5" t="str">
        <f t="shared" si="1"/>
        <v>NÃO</v>
      </c>
      <c r="F29" s="20" t="str">
        <f t="shared" si="2"/>
        <v xml:space="preserve"> </v>
      </c>
    </row>
    <row r="30" spans="2:6">
      <c r="B30" s="6">
        <v>41447</v>
      </c>
      <c r="C30" s="14">
        <v>2552.04</v>
      </c>
      <c r="D30" s="5">
        <f t="shared" si="0"/>
        <v>30.624480000000002</v>
      </c>
      <c r="E30" s="5" t="str">
        <f t="shared" si="1"/>
        <v>SIM</v>
      </c>
      <c r="F30" s="20">
        <f t="shared" si="2"/>
        <v>30.624480000000002</v>
      </c>
    </row>
    <row r="31" spans="2:6">
      <c r="B31" s="6">
        <v>41448</v>
      </c>
      <c r="C31" s="14">
        <v>3861.18</v>
      </c>
      <c r="D31" s="5">
        <f t="shared" si="0"/>
        <v>46.334159999999997</v>
      </c>
      <c r="E31" s="5" t="str">
        <f t="shared" si="1"/>
        <v>SIM</v>
      </c>
      <c r="F31" s="20">
        <f t="shared" si="2"/>
        <v>46.334159999999997</v>
      </c>
    </row>
    <row r="32" spans="2:6">
      <c r="B32" s="6">
        <v>41449</v>
      </c>
      <c r="C32" s="14">
        <v>3386.98</v>
      </c>
      <c r="D32" s="5">
        <f t="shared" si="0"/>
        <v>40.64376</v>
      </c>
      <c r="E32" s="5" t="str">
        <f t="shared" si="1"/>
        <v>SIM</v>
      </c>
      <c r="F32" s="20">
        <f t="shared" si="2"/>
        <v>40.64376</v>
      </c>
    </row>
    <row r="33" spans="2:6">
      <c r="B33" s="4">
        <v>41450</v>
      </c>
      <c r="C33" s="14">
        <v>3288.99</v>
      </c>
      <c r="D33" s="5">
        <f t="shared" si="0"/>
        <v>39.467880000000001</v>
      </c>
      <c r="E33" s="5" t="str">
        <f t="shared" si="1"/>
        <v>SIM</v>
      </c>
      <c r="F33" s="20">
        <f t="shared" si="2"/>
        <v>39.467880000000001</v>
      </c>
    </row>
    <row r="34" spans="2:6">
      <c r="B34" s="6">
        <v>41451</v>
      </c>
      <c r="C34" s="14">
        <v>919.34</v>
      </c>
      <c r="D34" s="5">
        <f t="shared" si="0"/>
        <v>11.032080000000001</v>
      </c>
      <c r="E34" s="5" t="str">
        <f t="shared" si="1"/>
        <v>SIM</v>
      </c>
      <c r="F34" s="20">
        <f t="shared" si="2"/>
        <v>11.032080000000001</v>
      </c>
    </row>
    <row r="35" spans="2:6">
      <c r="B35" s="6">
        <v>41452</v>
      </c>
      <c r="C35" s="14">
        <v>2722.56</v>
      </c>
      <c r="D35" s="5">
        <f t="shared" si="0"/>
        <v>32.670720000000003</v>
      </c>
      <c r="E35" s="5" t="str">
        <f t="shared" si="1"/>
        <v>SIM</v>
      </c>
      <c r="F35" s="20">
        <f t="shared" si="2"/>
        <v>32.670720000000003</v>
      </c>
    </row>
    <row r="36" spans="2:6">
      <c r="B36" s="4">
        <v>41453</v>
      </c>
      <c r="C36" s="14">
        <v>1432.81</v>
      </c>
      <c r="D36" s="5">
        <f t="shared" si="0"/>
        <v>17.193719999999999</v>
      </c>
      <c r="E36" s="5" t="str">
        <f t="shared" si="1"/>
        <v>SIM</v>
      </c>
      <c r="F36" s="20">
        <f t="shared" si="2"/>
        <v>17.193719999999999</v>
      </c>
    </row>
    <row r="37" spans="2:6">
      <c r="B37" s="6">
        <v>41454</v>
      </c>
      <c r="C37" s="14">
        <v>2411.88</v>
      </c>
      <c r="D37" s="5">
        <f t="shared" si="0"/>
        <v>28.94256</v>
      </c>
      <c r="E37" s="5" t="str">
        <f t="shared" si="1"/>
        <v>SIM</v>
      </c>
      <c r="F37" s="20">
        <f t="shared" si="2"/>
        <v>28.94256</v>
      </c>
    </row>
    <row r="38" spans="2:6">
      <c r="B38" s="6">
        <v>41455</v>
      </c>
      <c r="C38" s="14">
        <v>493.76</v>
      </c>
      <c r="D38" s="5">
        <f t="shared" si="0"/>
        <v>5.9251199999999997</v>
      </c>
      <c r="E38" s="5" t="str">
        <f t="shared" si="1"/>
        <v>NÃO</v>
      </c>
      <c r="F38" s="20" t="str">
        <f t="shared" si="2"/>
        <v xml:space="preserve"> </v>
      </c>
    </row>
    <row r="39" spans="2:6">
      <c r="B39" s="4">
        <v>41456</v>
      </c>
      <c r="C39" s="14">
        <v>2480.94</v>
      </c>
      <c r="D39" s="5">
        <f t="shared" si="0"/>
        <v>29.771280000000001</v>
      </c>
      <c r="E39" s="5" t="str">
        <f t="shared" si="1"/>
        <v>SIM</v>
      </c>
      <c r="F39" s="20">
        <f t="shared" si="2"/>
        <v>29.771280000000001</v>
      </c>
    </row>
    <row r="40" spans="2:6">
      <c r="B40" s="6">
        <v>41457</v>
      </c>
      <c r="C40" s="14">
        <v>245.13</v>
      </c>
      <c r="D40" s="5">
        <f t="shared" si="0"/>
        <v>2.94156</v>
      </c>
      <c r="E40" s="5" t="str">
        <f t="shared" si="1"/>
        <v>NÃO</v>
      </c>
      <c r="F40" s="20" t="str">
        <f t="shared" si="2"/>
        <v xml:space="preserve"> </v>
      </c>
    </row>
    <row r="41" spans="2:6">
      <c r="B41" s="6">
        <v>41458</v>
      </c>
      <c r="C41" s="14">
        <v>2806.12</v>
      </c>
      <c r="D41" s="5">
        <f t="shared" si="0"/>
        <v>33.673439999999999</v>
      </c>
      <c r="E41" s="5" t="str">
        <f t="shared" si="1"/>
        <v>SIM</v>
      </c>
      <c r="F41" s="20">
        <f t="shared" si="2"/>
        <v>33.673439999999999</v>
      </c>
    </row>
    <row r="42" spans="2:6">
      <c r="B42" s="4">
        <v>41459</v>
      </c>
      <c r="C42" s="14">
        <v>970.22</v>
      </c>
      <c r="D42" s="5">
        <f t="shared" si="0"/>
        <v>11.64264</v>
      </c>
      <c r="E42" s="5" t="str">
        <f t="shared" si="1"/>
        <v>SIM</v>
      </c>
      <c r="F42" s="20">
        <f t="shared" si="2"/>
        <v>11.64264</v>
      </c>
    </row>
    <row r="43" spans="2:6">
      <c r="B43" s="6">
        <v>41460</v>
      </c>
      <c r="C43" s="14">
        <v>1262.92</v>
      </c>
      <c r="D43" s="5">
        <f t="shared" si="0"/>
        <v>15.155040000000001</v>
      </c>
      <c r="E43" s="5" t="str">
        <f t="shared" si="1"/>
        <v>SIM</v>
      </c>
      <c r="F43" s="20">
        <f t="shared" si="2"/>
        <v>15.155040000000001</v>
      </c>
    </row>
    <row r="44" spans="2:6">
      <c r="B44" s="6">
        <v>41461</v>
      </c>
      <c r="C44" s="14">
        <v>2557.13</v>
      </c>
      <c r="D44" s="5">
        <f t="shared" si="0"/>
        <v>30.685560000000002</v>
      </c>
      <c r="E44" s="5" t="str">
        <f t="shared" si="1"/>
        <v>SIM</v>
      </c>
      <c r="F44" s="20">
        <f t="shared" si="2"/>
        <v>30.685560000000002</v>
      </c>
    </row>
    <row r="45" spans="2:6">
      <c r="B45" s="6">
        <v>41462</v>
      </c>
      <c r="C45" s="14">
        <v>2908.92</v>
      </c>
      <c r="D45" s="5">
        <f t="shared" si="0"/>
        <v>34.907040000000002</v>
      </c>
      <c r="E45" s="5" t="str">
        <f t="shared" si="1"/>
        <v>SIM</v>
      </c>
      <c r="F45" s="20">
        <f t="shared" si="2"/>
        <v>34.907040000000002</v>
      </c>
    </row>
    <row r="46" spans="2:6">
      <c r="B46" s="4">
        <v>41463</v>
      </c>
      <c r="C46" s="14">
        <v>807.47</v>
      </c>
      <c r="D46" s="5">
        <f t="shared" si="0"/>
        <v>9.6896400000000007</v>
      </c>
      <c r="E46" s="5" t="str">
        <f t="shared" si="1"/>
        <v>NÃO</v>
      </c>
      <c r="F46" s="20" t="str">
        <f t="shared" si="2"/>
        <v xml:space="preserve"> </v>
      </c>
    </row>
    <row r="47" spans="2:6">
      <c r="B47" s="6">
        <v>41464</v>
      </c>
      <c r="C47" s="14">
        <v>1324.47</v>
      </c>
      <c r="D47" s="30">
        <f t="shared" si="0"/>
        <v>15.893640000000001</v>
      </c>
      <c r="E47" s="30" t="str">
        <f t="shared" si="1"/>
        <v>SIM</v>
      </c>
      <c r="F47" s="20">
        <f t="shared" si="2"/>
        <v>15.893640000000001</v>
      </c>
    </row>
    <row r="48" spans="2:6">
      <c r="B48" s="6">
        <v>41465</v>
      </c>
      <c r="C48" s="14">
        <v>1651.3</v>
      </c>
      <c r="D48" s="5">
        <f t="shared" si="0"/>
        <v>19.8156</v>
      </c>
      <c r="E48" s="5" t="str">
        <f t="shared" si="1"/>
        <v>SIM</v>
      </c>
      <c r="F48" s="20">
        <f t="shared" si="2"/>
        <v>19.8156</v>
      </c>
    </row>
    <row r="49" spans="2:6">
      <c r="B49" s="4">
        <v>41466</v>
      </c>
      <c r="C49" s="14">
        <v>2266.52</v>
      </c>
      <c r="D49" s="5">
        <f t="shared" si="0"/>
        <v>27.198240000000002</v>
      </c>
      <c r="E49" s="5" t="str">
        <f t="shared" si="1"/>
        <v>SIM</v>
      </c>
      <c r="F49" s="20">
        <f t="shared" si="2"/>
        <v>27.198240000000002</v>
      </c>
    </row>
    <row r="50" spans="2:6">
      <c r="B50" s="6">
        <v>41467</v>
      </c>
      <c r="C50" s="14">
        <v>3151.85</v>
      </c>
      <c r="D50" s="5">
        <f t="shared" si="0"/>
        <v>37.822200000000002</v>
      </c>
      <c r="E50" s="5" t="str">
        <f t="shared" si="1"/>
        <v>SIM</v>
      </c>
      <c r="F50" s="20">
        <f t="shared" si="2"/>
        <v>37.822200000000002</v>
      </c>
    </row>
    <row r="51" spans="2:6">
      <c r="B51" s="6">
        <v>41468</v>
      </c>
      <c r="C51" s="14">
        <v>1000.4</v>
      </c>
      <c r="D51" s="5">
        <f t="shared" si="0"/>
        <v>12.004799999999999</v>
      </c>
      <c r="E51" s="5" t="str">
        <f t="shared" si="1"/>
        <v>SIM</v>
      </c>
      <c r="F51" s="20">
        <f t="shared" si="2"/>
        <v>12.004799999999999</v>
      </c>
    </row>
    <row r="52" spans="2:6">
      <c r="B52" s="4">
        <v>41469</v>
      </c>
      <c r="C52" s="14">
        <v>591.36</v>
      </c>
      <c r="D52" s="5">
        <f t="shared" si="0"/>
        <v>7.0963200000000004</v>
      </c>
      <c r="E52" s="5" t="str">
        <f t="shared" si="1"/>
        <v>NÃO</v>
      </c>
      <c r="F52" s="20" t="str">
        <f t="shared" si="2"/>
        <v xml:space="preserve"> </v>
      </c>
    </row>
    <row r="53" spans="2:6">
      <c r="B53" s="6">
        <v>41470</v>
      </c>
      <c r="C53" s="14">
        <v>779.2</v>
      </c>
      <c r="D53" s="5">
        <f t="shared" si="0"/>
        <v>9.3504000000000005</v>
      </c>
      <c r="E53" s="5" t="str">
        <f t="shared" si="1"/>
        <v>NÃO</v>
      </c>
      <c r="F53" s="20" t="str">
        <f t="shared" si="2"/>
        <v xml:space="preserve"> </v>
      </c>
    </row>
    <row r="54" spans="2:6" ht="15" customHeight="1">
      <c r="B54" s="6">
        <v>41471</v>
      </c>
      <c r="C54" s="14">
        <v>913.09</v>
      </c>
      <c r="D54" s="5">
        <f t="shared" si="0"/>
        <v>10.957080000000001</v>
      </c>
      <c r="E54" s="5" t="str">
        <f t="shared" si="1"/>
        <v>SIM</v>
      </c>
      <c r="F54" s="20">
        <f t="shared" si="2"/>
        <v>10.957080000000001</v>
      </c>
    </row>
    <row r="55" spans="2:6" ht="15" customHeight="1">
      <c r="B55" s="6">
        <v>41472</v>
      </c>
      <c r="C55" s="33">
        <v>840.03</v>
      </c>
      <c r="D55" s="34">
        <f t="shared" si="0"/>
        <v>10.080360000000001</v>
      </c>
      <c r="E55" s="34" t="str">
        <f t="shared" si="1"/>
        <v>SIM</v>
      </c>
      <c r="F55" s="20">
        <f t="shared" si="2"/>
        <v>10.080360000000001</v>
      </c>
    </row>
    <row r="56" spans="2:6">
      <c r="B56" s="4">
        <v>41473</v>
      </c>
      <c r="C56" s="14">
        <v>993.6</v>
      </c>
      <c r="D56" s="30">
        <f t="shared" si="0"/>
        <v>11.923200000000001</v>
      </c>
      <c r="E56" s="30" t="str">
        <f t="shared" si="1"/>
        <v>SIM</v>
      </c>
      <c r="F56" s="27">
        <f t="shared" si="2"/>
        <v>11.923200000000001</v>
      </c>
    </row>
    <row r="57" spans="2:6">
      <c r="B57" s="6">
        <v>41474</v>
      </c>
      <c r="C57" s="33">
        <v>624.44000000000005</v>
      </c>
      <c r="D57" s="30">
        <f t="shared" si="0"/>
        <v>7.4932800000000004</v>
      </c>
      <c r="E57" s="30" t="str">
        <f t="shared" si="1"/>
        <v>NÃO</v>
      </c>
      <c r="F57" s="27" t="str">
        <f t="shared" si="2"/>
        <v xml:space="preserve"> </v>
      </c>
    </row>
    <row r="58" spans="2:6">
      <c r="B58" s="6">
        <v>41475</v>
      </c>
      <c r="C58" s="33">
        <v>192.41</v>
      </c>
      <c r="D58" s="30">
        <f t="shared" si="0"/>
        <v>2.3089200000000001</v>
      </c>
      <c r="E58" s="30" t="str">
        <f t="shared" si="1"/>
        <v>NÃO</v>
      </c>
      <c r="F58" s="27" t="str">
        <f t="shared" si="2"/>
        <v xml:space="preserve"> </v>
      </c>
    </row>
    <row r="59" spans="2:6">
      <c r="B59" s="4">
        <v>41476</v>
      </c>
      <c r="C59" s="33">
        <v>754.31</v>
      </c>
      <c r="D59" s="30">
        <f t="shared" si="0"/>
        <v>9.0517199999999995</v>
      </c>
      <c r="E59" s="30" t="str">
        <f t="shared" si="1"/>
        <v>NÃO</v>
      </c>
      <c r="F59" s="27" t="str">
        <f t="shared" si="2"/>
        <v xml:space="preserve"> </v>
      </c>
    </row>
    <row r="60" spans="2:6">
      <c r="B60" s="6">
        <v>41477</v>
      </c>
      <c r="C60" s="33">
        <v>814.36</v>
      </c>
      <c r="D60" s="17">
        <f t="shared" si="0"/>
        <v>9.7723200000000006</v>
      </c>
      <c r="E60" s="17" t="str">
        <f t="shared" si="1"/>
        <v>NÃO</v>
      </c>
      <c r="F60" s="27" t="str">
        <f t="shared" si="2"/>
        <v xml:space="preserve"> </v>
      </c>
    </row>
    <row r="61" spans="2:6">
      <c r="B61" s="4">
        <v>41478</v>
      </c>
      <c r="C61" s="33">
        <v>775.28</v>
      </c>
      <c r="D61" s="17">
        <f t="shared" si="0"/>
        <v>9.3033599999999996</v>
      </c>
      <c r="E61" s="17" t="str">
        <f t="shared" si="1"/>
        <v>NÃO</v>
      </c>
      <c r="F61" s="27" t="str">
        <f t="shared" si="2"/>
        <v xml:space="preserve"> </v>
      </c>
    </row>
    <row r="62" spans="2:6">
      <c r="B62" s="6">
        <v>41479</v>
      </c>
      <c r="C62" s="33">
        <v>808.88</v>
      </c>
      <c r="D62" s="17">
        <f t="shared" si="0"/>
        <v>9.7065599999999996</v>
      </c>
      <c r="E62" s="17" t="str">
        <f t="shared" si="1"/>
        <v>NÃO</v>
      </c>
      <c r="F62" s="27" t="str">
        <f t="shared" si="2"/>
        <v xml:space="preserve"> </v>
      </c>
    </row>
    <row r="63" spans="2:6">
      <c r="B63" s="4">
        <v>41480</v>
      </c>
      <c r="C63" s="33">
        <v>916.17</v>
      </c>
      <c r="D63" s="17">
        <f t="shared" si="0"/>
        <v>10.99404</v>
      </c>
      <c r="E63" s="17" t="str">
        <f t="shared" si="1"/>
        <v>SIM</v>
      </c>
      <c r="F63" s="27">
        <f t="shared" si="2"/>
        <v>10.99404</v>
      </c>
    </row>
    <row r="64" spans="2:6">
      <c r="B64" s="6">
        <v>41481</v>
      </c>
      <c r="C64" s="33">
        <v>679.96</v>
      </c>
      <c r="D64" s="17">
        <f t="shared" si="0"/>
        <v>8.1595200000000006</v>
      </c>
      <c r="E64" s="17" t="str">
        <f t="shared" si="1"/>
        <v>NÃO</v>
      </c>
      <c r="F64" s="27" t="str">
        <f t="shared" si="2"/>
        <v xml:space="preserve"> </v>
      </c>
    </row>
    <row r="65" spans="2:6">
      <c r="B65" s="4">
        <v>41482</v>
      </c>
      <c r="C65" s="33">
        <v>789.18</v>
      </c>
      <c r="D65" s="17">
        <f t="shared" si="0"/>
        <v>9.4701599999999999</v>
      </c>
      <c r="E65" s="17" t="str">
        <f t="shared" si="1"/>
        <v>NÃO</v>
      </c>
      <c r="F65" s="27" t="str">
        <f t="shared" si="2"/>
        <v xml:space="preserve"> </v>
      </c>
    </row>
    <row r="66" spans="2:6">
      <c r="B66" s="6">
        <v>41483</v>
      </c>
      <c r="C66" s="33">
        <v>877.28</v>
      </c>
      <c r="D66" s="17">
        <f t="shared" si="0"/>
        <v>10.52736</v>
      </c>
      <c r="E66" s="17" t="str">
        <f t="shared" si="1"/>
        <v>SIM</v>
      </c>
      <c r="F66" s="27">
        <f t="shared" si="2"/>
        <v>10.52736</v>
      </c>
    </row>
    <row r="67" spans="2:6" ht="15.75" thickBot="1">
      <c r="B67" s="4">
        <v>41484</v>
      </c>
      <c r="C67" s="33">
        <v>275.95</v>
      </c>
      <c r="D67" s="17">
        <f t="shared" si="0"/>
        <v>3.3113999999999999</v>
      </c>
      <c r="E67" s="17" t="str">
        <f t="shared" si="1"/>
        <v>NÃO</v>
      </c>
      <c r="F67" s="27" t="str">
        <f t="shared" si="2"/>
        <v xml:space="preserve"> </v>
      </c>
    </row>
    <row r="68" spans="2:6" ht="15.75" thickBot="1">
      <c r="B68" s="9" t="s">
        <v>4</v>
      </c>
      <c r="C68" s="16">
        <f>SUM(C5:C67)</f>
        <v>98543.12</v>
      </c>
      <c r="D68" s="10">
        <f>SUM(D5:D67)</f>
        <v>1182.5174400000003</v>
      </c>
      <c r="E68" s="9"/>
      <c r="F68" s="22">
        <f>SUM(F5:F67)</f>
        <v>1048.8998400000003</v>
      </c>
    </row>
    <row r="69" spans="2:6">
      <c r="B69"/>
    </row>
    <row r="71" spans="2:6">
      <c r="B71"/>
    </row>
    <row r="72" spans="2:6">
      <c r="B72"/>
    </row>
    <row r="73" spans="2:6">
      <c r="B73"/>
    </row>
    <row r="74" spans="2:6">
      <c r="B74"/>
    </row>
    <row r="75" spans="2:6">
      <c r="B75"/>
    </row>
    <row r="76" spans="2:6">
      <c r="B76"/>
    </row>
    <row r="77" spans="2:6">
      <c r="B77"/>
    </row>
    <row r="78" spans="2:6">
      <c r="B78"/>
    </row>
    <row r="79" spans="2:6">
      <c r="B79"/>
    </row>
    <row r="80" spans="2:6">
      <c r="B80"/>
    </row>
    <row r="81" spans="2:6">
      <c r="B81"/>
    </row>
    <row r="82" spans="2:6">
      <c r="B82"/>
    </row>
    <row r="83" spans="2:6">
      <c r="B83"/>
    </row>
    <row r="84" spans="2:6" s="11" customFormat="1">
      <c r="B84"/>
      <c r="D84"/>
      <c r="E84"/>
      <c r="F84" s="18"/>
    </row>
    <row r="85" spans="2:6" s="11" customFormat="1">
      <c r="B85"/>
      <c r="D85"/>
      <c r="E85"/>
      <c r="F85" s="18"/>
    </row>
    <row r="86" spans="2:6" s="11" customFormat="1">
      <c r="B86"/>
      <c r="D86"/>
      <c r="E86"/>
      <c r="F86" s="18"/>
    </row>
    <row r="87" spans="2:6" s="11" customFormat="1">
      <c r="B87"/>
      <c r="D87"/>
      <c r="E87"/>
      <c r="F87" s="18"/>
    </row>
    <row r="88" spans="2:6" s="11" customFormat="1">
      <c r="B88"/>
      <c r="D88"/>
      <c r="E88"/>
      <c r="F88" s="18"/>
    </row>
    <row r="89" spans="2:6" s="11" customFormat="1">
      <c r="B89"/>
      <c r="D89"/>
      <c r="E89"/>
      <c r="F89" s="18"/>
    </row>
  </sheetData>
  <mergeCells count="1">
    <mergeCell ref="B1:F1"/>
  </mergeCells>
  <conditionalFormatting sqref="E71:E1048576 E3:E69">
    <cfRule type="cellIs" dxfId="2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F63"/>
  <sheetViews>
    <sheetView tabSelected="1" workbookViewId="0">
      <pane ySplit="2" topLeftCell="A6" activePane="bottomLeft" state="frozen"/>
      <selection pane="bottomLeft" activeCell="I44" sqref="I44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6" ht="15.75" thickBot="1">
      <c r="B1" s="40" t="s">
        <v>16</v>
      </c>
      <c r="C1" s="41"/>
      <c r="D1" s="41"/>
      <c r="E1" s="41"/>
      <c r="F1" s="42"/>
    </row>
    <row r="2" spans="2:6" ht="15.75" thickBot="1">
      <c r="C2" s="31"/>
      <c r="D2" s="32"/>
      <c r="E2" s="28" t="s">
        <v>7</v>
      </c>
      <c r="F2" s="38">
        <f>F42</f>
        <v>197.85120000000003</v>
      </c>
    </row>
    <row r="3" spans="2:6" ht="15.75" thickBot="1"/>
    <row r="4" spans="2:6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6">
      <c r="B5" s="4">
        <v>20913</v>
      </c>
      <c r="C5" s="13">
        <v>701.6</v>
      </c>
      <c r="D5" s="5">
        <f>C5*1.2%</f>
        <v>8.4192</v>
      </c>
      <c r="E5" s="5" t="str">
        <f>IF(D5&lt;=10,"NÃO","SIM")</f>
        <v>NÃO</v>
      </c>
      <c r="F5" s="19" t="str">
        <f>IF((D5)&lt;10," ",D5)</f>
        <v xml:space="preserve"> </v>
      </c>
    </row>
    <row r="6" spans="2:6">
      <c r="B6" s="6">
        <v>20891</v>
      </c>
      <c r="C6" s="14">
        <v>701.6</v>
      </c>
      <c r="D6" s="5">
        <f t="shared" ref="D6:D41" si="0">C6*1.2%</f>
        <v>8.4192</v>
      </c>
      <c r="E6" s="5" t="str">
        <f t="shared" ref="E6:E41" si="1">IF(D6&lt;=10,"NÃO","SIM")</f>
        <v>NÃO</v>
      </c>
      <c r="F6" s="20" t="str">
        <f t="shared" ref="F6:F41" si="2">IF((D6)&lt;10," ",D6)</f>
        <v xml:space="preserve"> </v>
      </c>
    </row>
    <row r="7" spans="2:6">
      <c r="B7" s="6">
        <v>20889</v>
      </c>
      <c r="C7" s="14">
        <v>350.8</v>
      </c>
      <c r="D7" s="5">
        <f t="shared" si="0"/>
        <v>4.2096</v>
      </c>
      <c r="E7" s="5" t="str">
        <f t="shared" si="1"/>
        <v>NÃO</v>
      </c>
      <c r="F7" s="19" t="str">
        <f t="shared" si="2"/>
        <v xml:space="preserve"> </v>
      </c>
    </row>
    <row r="8" spans="2:6">
      <c r="B8" s="4">
        <v>20899</v>
      </c>
      <c r="C8" s="14">
        <v>175.4</v>
      </c>
      <c r="D8" s="5">
        <f t="shared" si="0"/>
        <v>2.1048</v>
      </c>
      <c r="E8" s="5" t="str">
        <f t="shared" si="1"/>
        <v>NÃO</v>
      </c>
      <c r="F8" s="20" t="str">
        <f t="shared" si="2"/>
        <v xml:space="preserve"> </v>
      </c>
    </row>
    <row r="9" spans="2:6">
      <c r="B9" s="6">
        <v>20912</v>
      </c>
      <c r="C9" s="14">
        <v>877</v>
      </c>
      <c r="D9" s="5">
        <f t="shared" si="0"/>
        <v>10.524000000000001</v>
      </c>
      <c r="E9" s="5" t="str">
        <f t="shared" si="1"/>
        <v>SIM</v>
      </c>
      <c r="F9" s="19">
        <f t="shared" si="2"/>
        <v>10.524000000000001</v>
      </c>
    </row>
    <row r="10" spans="2:6">
      <c r="B10" s="6">
        <v>20881</v>
      </c>
      <c r="C10" s="14">
        <v>350.8</v>
      </c>
      <c r="D10" s="5">
        <f t="shared" si="0"/>
        <v>4.2096</v>
      </c>
      <c r="E10" s="5" t="str">
        <f t="shared" si="1"/>
        <v>NÃO</v>
      </c>
      <c r="F10" s="20" t="str">
        <f t="shared" si="2"/>
        <v xml:space="preserve"> </v>
      </c>
    </row>
    <row r="11" spans="2:6">
      <c r="B11" s="4">
        <v>20888</v>
      </c>
      <c r="C11" s="14">
        <v>877</v>
      </c>
      <c r="D11" s="5">
        <f t="shared" si="0"/>
        <v>10.524000000000001</v>
      </c>
      <c r="E11" s="5" t="str">
        <f t="shared" si="1"/>
        <v>SIM</v>
      </c>
      <c r="F11" s="19">
        <f t="shared" si="2"/>
        <v>10.524000000000001</v>
      </c>
    </row>
    <row r="12" spans="2:6">
      <c r="B12" s="6">
        <v>20882</v>
      </c>
      <c r="C12" s="14">
        <v>701.6</v>
      </c>
      <c r="D12" s="5">
        <f t="shared" si="0"/>
        <v>8.4192</v>
      </c>
      <c r="E12" s="5" t="str">
        <f t="shared" si="1"/>
        <v>NÃO</v>
      </c>
      <c r="F12" s="19" t="str">
        <f t="shared" si="2"/>
        <v xml:space="preserve"> </v>
      </c>
    </row>
    <row r="13" spans="2:6">
      <c r="B13" s="6">
        <v>20905</v>
      </c>
      <c r="C13" s="14">
        <v>1052.4000000000001</v>
      </c>
      <c r="D13" s="5">
        <f t="shared" si="0"/>
        <v>12.628800000000002</v>
      </c>
      <c r="E13" s="5" t="str">
        <f t="shared" si="1"/>
        <v>SIM</v>
      </c>
      <c r="F13" s="19">
        <f t="shared" si="2"/>
        <v>12.628800000000002</v>
      </c>
    </row>
    <row r="14" spans="2:6">
      <c r="B14" s="4">
        <v>20897</v>
      </c>
      <c r="C14" s="14">
        <v>877</v>
      </c>
      <c r="D14" s="5">
        <f t="shared" si="0"/>
        <v>10.524000000000001</v>
      </c>
      <c r="E14" s="5" t="str">
        <f t="shared" si="1"/>
        <v>SIM</v>
      </c>
      <c r="F14" s="20">
        <f t="shared" si="2"/>
        <v>10.524000000000001</v>
      </c>
    </row>
    <row r="15" spans="2:6">
      <c r="B15" s="6">
        <v>20903</v>
      </c>
      <c r="C15" s="14">
        <v>526.20000000000005</v>
      </c>
      <c r="D15" s="5">
        <f t="shared" si="0"/>
        <v>6.3144000000000009</v>
      </c>
      <c r="E15" s="5" t="str">
        <f t="shared" si="1"/>
        <v>NÃO</v>
      </c>
      <c r="F15" s="20" t="str">
        <f t="shared" si="2"/>
        <v xml:space="preserve"> </v>
      </c>
    </row>
    <row r="16" spans="2:6">
      <c r="B16" s="6">
        <v>20904</v>
      </c>
      <c r="C16" s="14">
        <v>701.6</v>
      </c>
      <c r="D16" s="5">
        <f t="shared" si="0"/>
        <v>8.4192</v>
      </c>
      <c r="E16" s="5" t="str">
        <f t="shared" si="1"/>
        <v>NÃO</v>
      </c>
      <c r="F16" s="20" t="str">
        <f t="shared" si="2"/>
        <v xml:space="preserve"> </v>
      </c>
    </row>
    <row r="17" spans="2:6">
      <c r="B17" s="4">
        <v>20878</v>
      </c>
      <c r="C17" s="14">
        <v>1403.2</v>
      </c>
      <c r="D17" s="5">
        <f t="shared" si="0"/>
        <v>16.8384</v>
      </c>
      <c r="E17" s="5" t="str">
        <f t="shared" si="1"/>
        <v>SIM</v>
      </c>
      <c r="F17" s="20">
        <f t="shared" si="2"/>
        <v>16.8384</v>
      </c>
    </row>
    <row r="18" spans="2:6">
      <c r="B18" s="6">
        <v>20879</v>
      </c>
      <c r="C18" s="14">
        <v>1403.2</v>
      </c>
      <c r="D18" s="5">
        <f t="shared" si="0"/>
        <v>16.8384</v>
      </c>
      <c r="E18" s="5" t="str">
        <f t="shared" si="1"/>
        <v>SIM</v>
      </c>
      <c r="F18" s="20">
        <f t="shared" si="2"/>
        <v>16.8384</v>
      </c>
    </row>
    <row r="19" spans="2:6">
      <c r="B19" s="6">
        <v>20880</v>
      </c>
      <c r="C19" s="14">
        <v>175.4</v>
      </c>
      <c r="D19" s="5">
        <f t="shared" si="0"/>
        <v>2.1048</v>
      </c>
      <c r="E19" s="5" t="str">
        <f t="shared" si="1"/>
        <v>NÃO</v>
      </c>
      <c r="F19" s="20" t="str">
        <f t="shared" si="2"/>
        <v xml:space="preserve"> </v>
      </c>
    </row>
    <row r="20" spans="2:6">
      <c r="B20" s="4">
        <v>20884</v>
      </c>
      <c r="C20" s="14">
        <v>350.8</v>
      </c>
      <c r="D20" s="5">
        <f t="shared" si="0"/>
        <v>4.2096</v>
      </c>
      <c r="E20" s="5" t="str">
        <f t="shared" si="1"/>
        <v>NÃO</v>
      </c>
      <c r="F20" s="20" t="str">
        <f t="shared" si="2"/>
        <v xml:space="preserve"> </v>
      </c>
    </row>
    <row r="21" spans="2:6">
      <c r="B21" s="6">
        <v>20902</v>
      </c>
      <c r="C21" s="14">
        <v>526.20000000000005</v>
      </c>
      <c r="D21" s="5">
        <f t="shared" si="0"/>
        <v>6.3144000000000009</v>
      </c>
      <c r="E21" s="5" t="str">
        <f t="shared" si="1"/>
        <v>NÃO</v>
      </c>
      <c r="F21" s="20" t="str">
        <f t="shared" si="2"/>
        <v xml:space="preserve"> </v>
      </c>
    </row>
    <row r="22" spans="2:6">
      <c r="B22" s="6">
        <v>20892</v>
      </c>
      <c r="C22" s="14">
        <v>350.8</v>
      </c>
      <c r="D22" s="5">
        <f t="shared" si="0"/>
        <v>4.2096</v>
      </c>
      <c r="E22" s="5" t="str">
        <f t="shared" si="1"/>
        <v>NÃO</v>
      </c>
      <c r="F22" s="20" t="str">
        <f t="shared" si="2"/>
        <v xml:space="preserve"> </v>
      </c>
    </row>
    <row r="23" spans="2:6">
      <c r="B23" s="4">
        <v>20895</v>
      </c>
      <c r="C23" s="14">
        <v>526.20000000000005</v>
      </c>
      <c r="D23" s="5">
        <f t="shared" si="0"/>
        <v>6.3144000000000009</v>
      </c>
      <c r="E23" s="5" t="str">
        <f t="shared" si="1"/>
        <v>NÃO</v>
      </c>
      <c r="F23" s="20" t="str">
        <f t="shared" si="2"/>
        <v xml:space="preserve"> </v>
      </c>
    </row>
    <row r="24" spans="2:6">
      <c r="B24" s="6">
        <v>20896</v>
      </c>
      <c r="C24" s="14">
        <v>438.5</v>
      </c>
      <c r="D24" s="5">
        <f t="shared" si="0"/>
        <v>5.2620000000000005</v>
      </c>
      <c r="E24" s="5" t="str">
        <f t="shared" si="1"/>
        <v>NÃO</v>
      </c>
      <c r="F24" s="20" t="str">
        <f t="shared" si="2"/>
        <v xml:space="preserve"> </v>
      </c>
    </row>
    <row r="25" spans="2:6">
      <c r="B25" s="6">
        <v>20914</v>
      </c>
      <c r="C25" s="14">
        <v>701.6</v>
      </c>
      <c r="D25" s="5">
        <f t="shared" si="0"/>
        <v>8.4192</v>
      </c>
      <c r="E25" s="5" t="str">
        <f t="shared" si="1"/>
        <v>NÃO</v>
      </c>
      <c r="F25" s="20" t="str">
        <f t="shared" si="2"/>
        <v xml:space="preserve"> </v>
      </c>
    </row>
    <row r="26" spans="2:6">
      <c r="B26" s="4">
        <v>20901</v>
      </c>
      <c r="C26" s="14">
        <v>1403.2</v>
      </c>
      <c r="D26" s="5">
        <f t="shared" si="0"/>
        <v>16.8384</v>
      </c>
      <c r="E26" s="5" t="str">
        <f t="shared" si="1"/>
        <v>SIM</v>
      </c>
      <c r="F26" s="20">
        <f t="shared" si="2"/>
        <v>16.8384</v>
      </c>
    </row>
    <row r="27" spans="2:6">
      <c r="B27" s="6">
        <v>20893</v>
      </c>
      <c r="C27" s="14">
        <v>1052.4000000000001</v>
      </c>
      <c r="D27" s="5">
        <f t="shared" si="0"/>
        <v>12.628800000000002</v>
      </c>
      <c r="E27" s="5" t="str">
        <f t="shared" si="1"/>
        <v>SIM</v>
      </c>
      <c r="F27" s="20">
        <f t="shared" si="2"/>
        <v>12.628800000000002</v>
      </c>
    </row>
    <row r="28" spans="2:6">
      <c r="B28" s="6">
        <v>20883</v>
      </c>
      <c r="C28" s="14">
        <v>526.20000000000005</v>
      </c>
      <c r="D28" s="5">
        <f t="shared" si="0"/>
        <v>6.3144000000000009</v>
      </c>
      <c r="E28" s="5" t="str">
        <f t="shared" si="1"/>
        <v>NÃO</v>
      </c>
      <c r="F28" s="20" t="str">
        <f t="shared" si="2"/>
        <v xml:space="preserve"> </v>
      </c>
    </row>
    <row r="29" spans="2:6">
      <c r="B29" s="4">
        <v>20887</v>
      </c>
      <c r="C29" s="14">
        <v>1052.4000000000001</v>
      </c>
      <c r="D29" s="5">
        <f t="shared" si="0"/>
        <v>12.628800000000002</v>
      </c>
      <c r="E29" s="5" t="str">
        <f t="shared" si="1"/>
        <v>SIM</v>
      </c>
      <c r="F29" s="20">
        <f t="shared" si="2"/>
        <v>12.628800000000002</v>
      </c>
    </row>
    <row r="30" spans="2:6">
      <c r="B30" s="6">
        <v>20909</v>
      </c>
      <c r="C30" s="14">
        <v>701.6</v>
      </c>
      <c r="D30" s="5">
        <f t="shared" si="0"/>
        <v>8.4192</v>
      </c>
      <c r="E30" s="5" t="str">
        <f t="shared" si="1"/>
        <v>NÃO</v>
      </c>
      <c r="F30" s="20" t="str">
        <f t="shared" si="2"/>
        <v xml:space="preserve"> </v>
      </c>
    </row>
    <row r="31" spans="2:6">
      <c r="B31" s="6">
        <v>20908</v>
      </c>
      <c r="C31" s="14">
        <v>877</v>
      </c>
      <c r="D31" s="5">
        <f t="shared" si="0"/>
        <v>10.524000000000001</v>
      </c>
      <c r="E31" s="5" t="str">
        <f t="shared" si="1"/>
        <v>SIM</v>
      </c>
      <c r="F31" s="20">
        <f t="shared" si="2"/>
        <v>10.524000000000001</v>
      </c>
    </row>
    <row r="32" spans="2:6">
      <c r="B32" s="6">
        <v>20886</v>
      </c>
      <c r="C32" s="14">
        <v>526.20000000000005</v>
      </c>
      <c r="D32" s="5">
        <f t="shared" si="0"/>
        <v>6.3144000000000009</v>
      </c>
      <c r="E32" s="5" t="str">
        <f t="shared" si="1"/>
        <v>NÃO</v>
      </c>
      <c r="F32" s="20" t="str">
        <f t="shared" si="2"/>
        <v xml:space="preserve"> </v>
      </c>
    </row>
    <row r="33" spans="2:6">
      <c r="B33" s="4">
        <v>20907</v>
      </c>
      <c r="C33" s="14">
        <v>701.6</v>
      </c>
      <c r="D33" s="5">
        <f t="shared" si="0"/>
        <v>8.4192</v>
      </c>
      <c r="E33" s="5" t="str">
        <f t="shared" si="1"/>
        <v>NÃO</v>
      </c>
      <c r="F33" s="20" t="str">
        <f t="shared" si="2"/>
        <v xml:space="preserve"> </v>
      </c>
    </row>
    <row r="34" spans="2:6">
      <c r="B34" s="6">
        <v>20894</v>
      </c>
      <c r="C34" s="14">
        <v>1052.4000000000001</v>
      </c>
      <c r="D34" s="5">
        <f t="shared" si="0"/>
        <v>12.628800000000002</v>
      </c>
      <c r="E34" s="5" t="str">
        <f t="shared" si="1"/>
        <v>SIM</v>
      </c>
      <c r="F34" s="20">
        <f t="shared" si="2"/>
        <v>12.628800000000002</v>
      </c>
    </row>
    <row r="35" spans="2:6">
      <c r="B35" s="6">
        <v>20906</v>
      </c>
      <c r="C35" s="14">
        <v>1754</v>
      </c>
      <c r="D35" s="5">
        <f t="shared" si="0"/>
        <v>21.048000000000002</v>
      </c>
      <c r="E35" s="5" t="str">
        <f t="shared" si="1"/>
        <v>SIM</v>
      </c>
      <c r="F35" s="20">
        <f t="shared" si="2"/>
        <v>21.048000000000002</v>
      </c>
    </row>
    <row r="36" spans="2:6">
      <c r="B36" s="4">
        <v>20911</v>
      </c>
      <c r="C36" s="14">
        <v>350.8</v>
      </c>
      <c r="D36" s="5">
        <f t="shared" si="0"/>
        <v>4.2096</v>
      </c>
      <c r="E36" s="5" t="str">
        <f t="shared" si="1"/>
        <v>NÃO</v>
      </c>
      <c r="F36" s="20" t="str">
        <f t="shared" si="2"/>
        <v xml:space="preserve"> </v>
      </c>
    </row>
    <row r="37" spans="2:6">
      <c r="B37" s="6">
        <v>20890</v>
      </c>
      <c r="C37" s="14">
        <v>1052.4000000000001</v>
      </c>
      <c r="D37" s="5">
        <f t="shared" si="0"/>
        <v>12.628800000000002</v>
      </c>
      <c r="E37" s="5" t="str">
        <f t="shared" si="1"/>
        <v>SIM</v>
      </c>
      <c r="F37" s="20">
        <f t="shared" si="2"/>
        <v>12.628800000000002</v>
      </c>
    </row>
    <row r="38" spans="2:6">
      <c r="B38" s="6">
        <v>20885</v>
      </c>
      <c r="C38" s="14">
        <v>877</v>
      </c>
      <c r="D38" s="5">
        <f t="shared" si="0"/>
        <v>10.524000000000001</v>
      </c>
      <c r="E38" s="5" t="str">
        <f t="shared" si="1"/>
        <v>SIM</v>
      </c>
      <c r="F38" s="20">
        <f t="shared" si="2"/>
        <v>10.524000000000001</v>
      </c>
    </row>
    <row r="39" spans="2:6">
      <c r="B39" s="4">
        <v>20898</v>
      </c>
      <c r="C39" s="14">
        <v>526.20000000000005</v>
      </c>
      <c r="D39" s="5">
        <f t="shared" si="0"/>
        <v>6.3144000000000009</v>
      </c>
      <c r="E39" s="5" t="str">
        <f t="shared" si="1"/>
        <v>NÃO</v>
      </c>
      <c r="F39" s="20" t="str">
        <f t="shared" si="2"/>
        <v xml:space="preserve"> </v>
      </c>
    </row>
    <row r="40" spans="2:6">
      <c r="B40" s="6">
        <v>20910</v>
      </c>
      <c r="C40" s="14">
        <v>877</v>
      </c>
      <c r="D40" s="5">
        <f t="shared" si="0"/>
        <v>10.524000000000001</v>
      </c>
      <c r="E40" s="5" t="str">
        <f t="shared" si="1"/>
        <v>SIM</v>
      </c>
      <c r="F40" s="20">
        <f t="shared" si="2"/>
        <v>10.524000000000001</v>
      </c>
    </row>
    <row r="41" spans="2:6" ht="15.75" thickBot="1">
      <c r="B41" s="6">
        <v>20900</v>
      </c>
      <c r="C41" s="14">
        <v>350.8</v>
      </c>
      <c r="D41" s="5">
        <f t="shared" si="0"/>
        <v>4.2096</v>
      </c>
      <c r="E41" s="5" t="str">
        <f t="shared" si="1"/>
        <v>NÃO</v>
      </c>
      <c r="F41" s="20" t="str">
        <f t="shared" si="2"/>
        <v xml:space="preserve"> </v>
      </c>
    </row>
    <row r="42" spans="2:6" ht="15.75" thickBot="1">
      <c r="B42" s="9" t="s">
        <v>4</v>
      </c>
      <c r="C42" s="16">
        <f>SUM(C5:C41)</f>
        <v>27450.100000000002</v>
      </c>
      <c r="D42" s="10">
        <f>SUM(D5:D41)</f>
        <v>329.40120000000007</v>
      </c>
      <c r="E42" s="9"/>
      <c r="F42" s="22">
        <f>SUM(F5:F41)</f>
        <v>197.85120000000003</v>
      </c>
    </row>
    <row r="43" spans="2:6">
      <c r="B43"/>
    </row>
    <row r="45" spans="2:6">
      <c r="B45"/>
    </row>
    <row r="46" spans="2:6">
      <c r="B46"/>
    </row>
    <row r="47" spans="2:6">
      <c r="B47"/>
    </row>
    <row r="48" spans="2:6">
      <c r="B48"/>
    </row>
    <row r="49" spans="2:6">
      <c r="B49"/>
    </row>
    <row r="50" spans="2:6">
      <c r="B50"/>
    </row>
    <row r="51" spans="2:6">
      <c r="B51"/>
    </row>
    <row r="52" spans="2:6">
      <c r="B52"/>
    </row>
    <row r="53" spans="2:6">
      <c r="B53"/>
    </row>
    <row r="54" spans="2:6">
      <c r="B54"/>
    </row>
    <row r="55" spans="2:6">
      <c r="B55"/>
    </row>
    <row r="56" spans="2:6">
      <c r="B56"/>
    </row>
    <row r="57" spans="2:6">
      <c r="B57"/>
    </row>
    <row r="58" spans="2:6" s="11" customFormat="1">
      <c r="B58"/>
      <c r="D58"/>
      <c r="E58"/>
      <c r="F58" s="18"/>
    </row>
    <row r="59" spans="2:6" s="11" customFormat="1">
      <c r="B59"/>
      <c r="D59"/>
      <c r="E59"/>
      <c r="F59" s="18"/>
    </row>
    <row r="60" spans="2:6" s="11" customFormat="1">
      <c r="B60"/>
      <c r="D60"/>
      <c r="E60"/>
      <c r="F60" s="18"/>
    </row>
    <row r="61" spans="2:6" s="11" customFormat="1">
      <c r="B61"/>
      <c r="D61"/>
      <c r="E61"/>
      <c r="F61" s="18"/>
    </row>
    <row r="62" spans="2:6" s="11" customFormat="1">
      <c r="B62"/>
      <c r="D62"/>
      <c r="E62"/>
      <c r="F62" s="18"/>
    </row>
    <row r="63" spans="2:6" s="11" customFormat="1">
      <c r="B63"/>
      <c r="D63"/>
      <c r="E63"/>
      <c r="F63" s="18"/>
    </row>
  </sheetData>
  <mergeCells count="1">
    <mergeCell ref="B1:F1"/>
  </mergeCells>
  <conditionalFormatting sqref="E45:E1048576 E3:E43">
    <cfRule type="cellIs" dxfId="0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G30"/>
  <sheetViews>
    <sheetView workbookViewId="0">
      <selection activeCell="I15" sqref="I15"/>
    </sheetView>
  </sheetViews>
  <sheetFormatPr defaultRowHeight="15"/>
  <cols>
    <col min="2" max="2" width="13.140625" style="2" customWidth="1"/>
    <col min="3" max="3" width="12.42578125" style="11" customWidth="1"/>
    <col min="4" max="4" width="16.85546875" customWidth="1"/>
    <col min="5" max="5" width="15.42578125" customWidth="1"/>
    <col min="6" max="6" width="15.7109375" style="18" customWidth="1"/>
  </cols>
  <sheetData>
    <row r="1" spans="2:7" ht="15.75" thickBot="1">
      <c r="B1" s="40" t="s">
        <v>10</v>
      </c>
      <c r="C1" s="41"/>
      <c r="D1" s="41"/>
      <c r="E1" s="41"/>
      <c r="F1" s="42"/>
    </row>
    <row r="2" spans="2:7" ht="15.75" thickBot="1">
      <c r="C2" s="31"/>
      <c r="D2" s="32"/>
      <c r="E2" s="28" t="s">
        <v>7</v>
      </c>
      <c r="F2" s="38">
        <f t="shared" ref="F2" si="0">F9</f>
        <v>11639.862360000001</v>
      </c>
    </row>
    <row r="3" spans="2:7" ht="15.75" thickBot="1"/>
    <row r="4" spans="2:7" ht="23.25" customHeight="1" thickBot="1">
      <c r="B4" s="3" t="s">
        <v>0</v>
      </c>
      <c r="C4" s="12" t="s">
        <v>1</v>
      </c>
      <c r="D4" s="1" t="s">
        <v>2</v>
      </c>
      <c r="E4" s="1" t="s">
        <v>3</v>
      </c>
      <c r="F4" s="23" t="s">
        <v>5</v>
      </c>
    </row>
    <row r="5" spans="2:7">
      <c r="B5" s="4">
        <v>386</v>
      </c>
      <c r="C5" s="13">
        <v>311125.92</v>
      </c>
      <c r="D5" s="39">
        <f>C5*1.2%</f>
        <v>3733.5110399999999</v>
      </c>
      <c r="E5" s="5" t="str">
        <f>IF(D5&lt;=10,"NÃO","SIM")</f>
        <v>SIM</v>
      </c>
      <c r="F5" s="35">
        <f>IF((D5)&lt;10," ",D5)</f>
        <v>3733.5110399999999</v>
      </c>
      <c r="G5" s="36"/>
    </row>
    <row r="6" spans="2:7">
      <c r="B6" s="6">
        <v>387</v>
      </c>
      <c r="C6" s="14">
        <v>169452.51</v>
      </c>
      <c r="D6" s="39">
        <f t="shared" ref="D6:D8" si="1">C6*1.2%</f>
        <v>2033.4301200000002</v>
      </c>
      <c r="E6" s="5" t="str">
        <f t="shared" ref="E6:E8" si="2">IF(D6&lt;=10,"NÃO","SIM")</f>
        <v>SIM</v>
      </c>
      <c r="F6" s="37">
        <f t="shared" ref="F6:F8" si="3">IF((D6)&lt;10," ",D6)</f>
        <v>2033.4301200000002</v>
      </c>
      <c r="G6" s="36"/>
    </row>
    <row r="7" spans="2:7">
      <c r="B7" s="6">
        <v>388</v>
      </c>
      <c r="C7" s="14">
        <v>113411.85</v>
      </c>
      <c r="D7" s="39">
        <f t="shared" si="1"/>
        <v>1360.9422000000002</v>
      </c>
      <c r="E7" s="5" t="str">
        <f t="shared" si="2"/>
        <v>SIM</v>
      </c>
      <c r="F7" s="37">
        <f t="shared" si="3"/>
        <v>1360.9422000000002</v>
      </c>
      <c r="G7" s="36"/>
    </row>
    <row r="8" spans="2:7" ht="15.75" thickBot="1">
      <c r="B8" s="6">
        <v>389</v>
      </c>
      <c r="C8" s="14">
        <v>375998.25</v>
      </c>
      <c r="D8" s="39">
        <f t="shared" si="1"/>
        <v>4511.9790000000003</v>
      </c>
      <c r="E8" s="5" t="str">
        <f t="shared" si="2"/>
        <v>SIM</v>
      </c>
      <c r="F8" s="37">
        <f t="shared" si="3"/>
        <v>4511.9790000000003</v>
      </c>
      <c r="G8" s="36"/>
    </row>
    <row r="9" spans="2:7" ht="15.75" thickBot="1">
      <c r="B9" s="9" t="s">
        <v>4</v>
      </c>
      <c r="C9" s="16">
        <f>SUM(C5:C8)</f>
        <v>969988.53</v>
      </c>
      <c r="D9" s="10">
        <f>SUM(D5:D8)</f>
        <v>11639.862360000001</v>
      </c>
      <c r="E9" s="9"/>
      <c r="F9" s="22">
        <f>SUM(F5:F8)</f>
        <v>11639.862360000001</v>
      </c>
    </row>
    <row r="10" spans="2:7">
      <c r="B10"/>
    </row>
    <row r="12" spans="2:7">
      <c r="B12"/>
    </row>
    <row r="13" spans="2:7">
      <c r="B13"/>
    </row>
    <row r="14" spans="2:7">
      <c r="B14"/>
    </row>
    <row r="15" spans="2:7">
      <c r="B15"/>
    </row>
    <row r="16" spans="2:7">
      <c r="B16"/>
    </row>
    <row r="17" spans="2:6">
      <c r="B17"/>
    </row>
    <row r="18" spans="2:6">
      <c r="B18"/>
    </row>
    <row r="19" spans="2:6">
      <c r="B19"/>
    </row>
    <row r="20" spans="2:6">
      <c r="B20"/>
    </row>
    <row r="21" spans="2:6">
      <c r="B21"/>
    </row>
    <row r="22" spans="2:6">
      <c r="B22"/>
    </row>
    <row r="23" spans="2:6">
      <c r="B23"/>
    </row>
    <row r="24" spans="2:6">
      <c r="B24"/>
    </row>
    <row r="25" spans="2:6" s="11" customFormat="1">
      <c r="B25"/>
      <c r="D25"/>
      <c r="E25"/>
      <c r="F25" s="18"/>
    </row>
    <row r="26" spans="2:6" s="11" customFormat="1">
      <c r="B26"/>
      <c r="D26"/>
      <c r="E26"/>
      <c r="F26" s="18"/>
    </row>
    <row r="27" spans="2:6" s="11" customFormat="1">
      <c r="B27"/>
      <c r="D27"/>
      <c r="E27"/>
      <c r="F27" s="18"/>
    </row>
    <row r="28" spans="2:6" s="11" customFormat="1">
      <c r="B28"/>
      <c r="D28"/>
      <c r="E28"/>
      <c r="F28" s="18"/>
    </row>
    <row r="29" spans="2:6" s="11" customFormat="1">
      <c r="B29"/>
      <c r="D29"/>
      <c r="E29"/>
      <c r="F29" s="18"/>
    </row>
    <row r="30" spans="2:6" s="11" customFormat="1">
      <c r="B30"/>
      <c r="D30"/>
      <c r="E30"/>
      <c r="F30" s="18"/>
    </row>
  </sheetData>
  <mergeCells count="1">
    <mergeCell ref="B1:F1"/>
  </mergeCells>
  <conditionalFormatting sqref="E12:E1048576 E3:E10">
    <cfRule type="cellIs" dxfId="1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2904 INOVAR</vt:lpstr>
      <vt:lpstr>2927 RG Distribuidora</vt:lpstr>
      <vt:lpstr>3268 RG Distribuidora</vt:lpstr>
      <vt:lpstr>3265 RG Distribuidora </vt:lpstr>
      <vt:lpstr>4659 RG Distribuidora  </vt:lpstr>
      <vt:lpstr>3665 RG Distribuidora  </vt:lpstr>
      <vt:lpstr>3666 RG Distribuidora  </vt:lpstr>
      <vt:lpstr>3666 Supergasbrás  </vt:lpstr>
      <vt:lpstr>5949 RG Distribuidora   </vt:lpstr>
      <vt:lpstr>4313 C Teixeira   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adriana.ferreira</dc:creator>
  <cp:lastModifiedBy>juliana.medeiros</cp:lastModifiedBy>
  <cp:lastPrinted>2026-04-14T16:23:53Z</cp:lastPrinted>
  <dcterms:created xsi:type="dcterms:W3CDTF">2026-03-11T19:55:07Z</dcterms:created>
  <dcterms:modified xsi:type="dcterms:W3CDTF">2026-04-15T14:37:45Z</dcterms:modified>
</cp:coreProperties>
</file>